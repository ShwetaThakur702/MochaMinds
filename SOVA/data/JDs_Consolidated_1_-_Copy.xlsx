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0"/>
  <workbookPr defaultThemeVersion="166925"/>
  <mc:AlternateContent xmlns:mc="http://schemas.openxmlformats.org/markup-compatibility/2006">
    <mc:Choice Requires="x15">
      <x15ac:absPath xmlns:x15ac="http://schemas.microsoft.com/office/spreadsheetml/2010/11/ac" url="https://i3l-my.sharepoint.com/personal/57377_itcinfotech_com/Documents/Microsoft Teams Chat Files/"/>
    </mc:Choice>
  </mc:AlternateContent>
  <xr:revisionPtr revIDLastSave="0" documentId="8_{E23F1ECB-DC7F-45B7-8952-B30165F893CC}" xr6:coauthVersionLast="47" xr6:coauthVersionMax="47" xr10:uidLastSave="{00000000-0000-0000-0000-000000000000}"/>
  <bookViews>
    <workbookView xWindow="-110" yWindow="-110" windowWidth="19420" windowHeight="10300" xr2:uid="{0CD70781-4BC9-447F-8284-5679A11BE811}"/>
  </bookViews>
  <sheets>
    <sheet name="Consolidated" sheetId="5" r:id="rId1"/>
    <sheet name="SAP AMS" sheetId="1" state="hidden" r:id="rId2"/>
    <sheet name="Integration" sheetId="2" state="hidden" r:id="rId3"/>
    <sheet name="D2CCRM" sheetId="3" state="hidden" r:id="rId4"/>
    <sheet name="Testing" sheetId="7" r:id="rId5"/>
    <sheet name="Metadata" sheetId="4" r:id="rId6"/>
  </sheets>
  <definedNames>
    <definedName name="_xlnm._FilterDatabase" localSheetId="0" hidden="1">Consolidated!$A$7:$E$11</definedName>
    <definedName name="_xlnm._FilterDatabase" localSheetId="5" hidden="1">Metadata!$E$1:$E$31</definedName>
    <definedName name="_xlnm._FilterDatabase" localSheetId="1" hidden="1">'SAP AMS'!$A$1:$M$91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5" i="5" l="1"/>
  <c r="D186" i="5"/>
  <c r="D185" i="5"/>
  <c r="D184" i="5"/>
  <c r="D183" i="5"/>
  <c r="D182" i="5"/>
  <c r="D181" i="5"/>
  <c r="D180" i="5"/>
  <c r="D179" i="5"/>
  <c r="D178" i="5"/>
  <c r="D177" i="5"/>
  <c r="D176" i="5"/>
  <c r="D175" i="5"/>
  <c r="D174" i="5"/>
  <c r="D173" i="5"/>
  <c r="D172" i="5"/>
  <c r="D171" i="5"/>
  <c r="D170" i="5"/>
  <c r="D169" i="5"/>
  <c r="D168" i="5"/>
  <c r="D167" i="5"/>
  <c r="D166" i="5"/>
  <c r="D165" i="5"/>
  <c r="D164" i="5"/>
  <c r="D163" i="5"/>
  <c r="D162" i="5"/>
  <c r="D161" i="5"/>
  <c r="C160" i="5"/>
  <c r="D160" i="5"/>
  <c r="D152" i="5"/>
  <c r="C152" i="5"/>
  <c r="D121" i="5"/>
  <c r="C121" i="5"/>
  <c r="D122" i="5"/>
  <c r="C122" i="5"/>
  <c r="D80" i="5"/>
  <c r="C80" i="5"/>
  <c r="D81" i="5"/>
  <c r="D157" i="5"/>
  <c r="D159" i="5"/>
  <c r="C159" i="5"/>
  <c r="D153" i="5"/>
  <c r="D154" i="5"/>
  <c r="D155" i="5"/>
  <c r="D156" i="5"/>
  <c r="D158" i="5"/>
  <c r="C158" i="5"/>
  <c r="C157" i="5"/>
  <c r="C156" i="5"/>
  <c r="C153" i="5"/>
  <c r="C154" i="5"/>
  <c r="C155" i="5"/>
  <c r="D151" i="5"/>
  <c r="C151" i="5"/>
  <c r="D149" i="5"/>
  <c r="C149" i="5"/>
  <c r="C147" i="5" l="1"/>
  <c r="C145" i="5"/>
  <c r="C144" i="5"/>
  <c r="C143" i="5"/>
  <c r="C142" i="5"/>
  <c r="C140" i="5"/>
  <c r="C139" i="5"/>
  <c r="C138" i="5"/>
  <c r="C137" i="5"/>
  <c r="C135" i="5"/>
  <c r="C134" i="5"/>
  <c r="C133" i="5"/>
  <c r="C132" i="5"/>
  <c r="C130" i="5"/>
  <c r="C129" i="5"/>
  <c r="C127" i="5"/>
  <c r="C126" i="5"/>
  <c r="C124" i="5"/>
  <c r="C120" i="5"/>
  <c r="C118" i="5"/>
  <c r="C117" i="5"/>
  <c r="C116" i="5"/>
  <c r="C115" i="5"/>
  <c r="C113" i="5"/>
  <c r="C112" i="5"/>
  <c r="C111" i="5"/>
  <c r="C109" i="5"/>
  <c r="C108" i="5"/>
  <c r="C107" i="5"/>
  <c r="C106" i="5"/>
  <c r="C104" i="5"/>
  <c r="C103" i="5"/>
  <c r="C102" i="5"/>
  <c r="C101" i="5"/>
  <c r="C100" i="5"/>
  <c r="C98" i="5"/>
  <c r="C97" i="5"/>
  <c r="C96" i="5"/>
  <c r="C95" i="5"/>
  <c r="C94" i="5"/>
  <c r="C93" i="5"/>
  <c r="C91" i="5"/>
  <c r="C89" i="5"/>
  <c r="C88" i="5"/>
  <c r="C87" i="5"/>
  <c r="C85" i="5"/>
  <c r="C84" i="5"/>
  <c r="C83" i="5"/>
  <c r="C81" i="5"/>
  <c r="C79" i="5"/>
  <c r="C77" i="5"/>
  <c r="C76" i="5"/>
  <c r="C75" i="5"/>
  <c r="C74" i="5"/>
  <c r="C73" i="5"/>
  <c r="C71" i="5"/>
  <c r="C70" i="5"/>
  <c r="C69" i="5"/>
  <c r="C68" i="5"/>
  <c r="C67" i="5"/>
  <c r="C65" i="5"/>
  <c r="C64" i="5"/>
  <c r="C62" i="5"/>
  <c r="C61" i="5"/>
  <c r="C60" i="5"/>
  <c r="C58" i="5"/>
  <c r="C57" i="5"/>
  <c r="C56" i="5"/>
  <c r="C55" i="5"/>
  <c r="C53" i="5"/>
  <c r="C52" i="5"/>
  <c r="C51" i="5"/>
  <c r="C49" i="5"/>
  <c r="C48" i="5"/>
  <c r="C46" i="5"/>
  <c r="C45" i="5"/>
  <c r="C44" i="5"/>
  <c r="C43" i="5"/>
  <c r="C42" i="5"/>
  <c r="C41" i="5"/>
  <c r="C39" i="5"/>
  <c r="C38" i="5"/>
  <c r="C37" i="5"/>
  <c r="C36" i="5"/>
  <c r="C34" i="5"/>
  <c r="C33" i="5"/>
  <c r="C31" i="5"/>
  <c r="C29" i="5"/>
  <c r="C28" i="5"/>
  <c r="C26" i="5"/>
  <c r="C24" i="5"/>
  <c r="C23" i="5"/>
  <c r="C21" i="5"/>
  <c r="C20" i="5"/>
  <c r="C19" i="5"/>
  <c r="C17" i="5"/>
  <c r="C16" i="5"/>
  <c r="C15" i="5"/>
  <c r="C14" i="5"/>
  <c r="C13" i="5"/>
  <c r="C11" i="5"/>
  <c r="C10" i="5"/>
  <c r="C9" i="5"/>
  <c r="C8" i="5"/>
  <c r="C7" i="5"/>
  <c r="C5" i="5"/>
  <c r="C4" i="5"/>
  <c r="C3" i="5"/>
  <c r="C2" i="5"/>
  <c r="D147" i="5"/>
  <c r="D145" i="5"/>
  <c r="D144" i="5"/>
  <c r="D143" i="5"/>
  <c r="D142" i="5"/>
  <c r="D140" i="5"/>
  <c r="D139" i="5"/>
  <c r="D138" i="5"/>
  <c r="D137" i="5"/>
  <c r="D135" i="5"/>
  <c r="D134" i="5"/>
  <c r="D133" i="5"/>
  <c r="D132" i="5"/>
  <c r="D130" i="5"/>
  <c r="D129" i="5"/>
  <c r="D127" i="5"/>
  <c r="D126" i="5"/>
  <c r="D124" i="5"/>
  <c r="D120" i="5"/>
  <c r="D118" i="5"/>
  <c r="D117" i="5"/>
  <c r="D116" i="5"/>
  <c r="D115" i="5"/>
  <c r="D113" i="5"/>
  <c r="D112" i="5"/>
  <c r="D111" i="5"/>
  <c r="D109" i="5"/>
  <c r="D108" i="5"/>
  <c r="D107" i="5"/>
  <c r="D106" i="5"/>
  <c r="D104" i="5"/>
  <c r="D103" i="5"/>
  <c r="D102" i="5"/>
  <c r="D101" i="5"/>
  <c r="D100" i="5"/>
  <c r="D98" i="5"/>
  <c r="D97" i="5"/>
  <c r="D96" i="5"/>
  <c r="D95" i="5"/>
  <c r="D94" i="5"/>
  <c r="D93" i="5"/>
  <c r="D91" i="5"/>
  <c r="D89" i="5"/>
  <c r="D88" i="5"/>
  <c r="D87" i="5"/>
  <c r="D85" i="5"/>
  <c r="D84" i="5"/>
  <c r="D83" i="5"/>
  <c r="D79" i="5"/>
  <c r="D77" i="5"/>
  <c r="D76" i="5"/>
  <c r="D75" i="5"/>
  <c r="D74" i="5"/>
  <c r="D73" i="5"/>
  <c r="D71" i="5"/>
  <c r="D70" i="5"/>
  <c r="D69" i="5"/>
  <c r="D68" i="5"/>
  <c r="D67" i="5"/>
  <c r="D65" i="5"/>
  <c r="D64" i="5"/>
  <c r="D62" i="5"/>
  <c r="D61" i="5"/>
  <c r="D60" i="5"/>
  <c r="D58" i="5"/>
  <c r="D57" i="5"/>
  <c r="D56" i="5"/>
  <c r="D55" i="5"/>
  <c r="D53" i="5"/>
  <c r="D52" i="5"/>
  <c r="D51" i="5"/>
  <c r="D49" i="5"/>
  <c r="D48" i="5"/>
  <c r="D46" i="5"/>
  <c r="D45" i="5"/>
  <c r="D44" i="5"/>
  <c r="D43" i="5"/>
  <c r="D42" i="5"/>
  <c r="D41" i="5"/>
  <c r="D39" i="5"/>
  <c r="D38" i="5"/>
  <c r="D37" i="5"/>
  <c r="D36" i="5"/>
  <c r="D34" i="5"/>
  <c r="D33" i="5"/>
  <c r="D31" i="5"/>
  <c r="D29" i="5"/>
  <c r="D28" i="5"/>
  <c r="D26" i="5"/>
  <c r="D24" i="5"/>
  <c r="D23" i="5"/>
  <c r="D21" i="5"/>
  <c r="D20" i="5"/>
  <c r="D19" i="5"/>
  <c r="D17" i="5"/>
  <c r="D16" i="5"/>
  <c r="D14" i="5"/>
  <c r="D13" i="5"/>
  <c r="D11" i="5"/>
  <c r="D10" i="5"/>
  <c r="D9" i="5"/>
  <c r="D8" i="5"/>
  <c r="D7" i="5"/>
  <c r="D5" i="5"/>
  <c r="D4" i="5"/>
  <c r="D3" i="5"/>
  <c r="D2" i="5"/>
  <c r="C23" i="3"/>
  <c r="C18" i="3"/>
  <c r="C13" i="3"/>
  <c r="C28" i="3"/>
  <c r="C27" i="3"/>
  <c r="C26" i="3"/>
  <c r="C25" i="3"/>
  <c r="C3" i="3"/>
  <c r="C61" i="1"/>
  <c r="C33" i="1"/>
  <c r="C16" i="1"/>
  <c r="C30" i="3"/>
  <c r="C29" i="3"/>
  <c r="C24" i="3"/>
  <c r="C22" i="3"/>
  <c r="C21" i="3"/>
  <c r="C20" i="3"/>
  <c r="C19" i="3"/>
  <c r="C17" i="3"/>
  <c r="C16" i="3"/>
  <c r="C15" i="3"/>
  <c r="C14" i="3"/>
  <c r="C12" i="3"/>
  <c r="C11" i="3"/>
  <c r="C10" i="3"/>
  <c r="C9" i="3"/>
  <c r="C8" i="3"/>
  <c r="C7" i="3"/>
  <c r="C6" i="3"/>
  <c r="C5" i="3"/>
  <c r="C4" i="3"/>
  <c r="C2" i="3"/>
  <c r="C6" i="2"/>
  <c r="C90" i="1"/>
  <c r="C45" i="1"/>
  <c r="C6" i="1" l="1"/>
  <c r="C30" i="2" l="1"/>
  <c r="C29" i="2"/>
  <c r="C25" i="2"/>
  <c r="C26" i="2"/>
  <c r="C28" i="2"/>
  <c r="C23" i="2"/>
  <c r="C19" i="2"/>
  <c r="C14" i="2"/>
  <c r="C8" i="2"/>
  <c r="C9" i="2"/>
  <c r="C10" i="2"/>
  <c r="C11" i="2"/>
  <c r="C12" i="2"/>
  <c r="C13" i="2"/>
  <c r="C15" i="2"/>
  <c r="C16" i="2"/>
  <c r="C17" i="2"/>
  <c r="C18" i="2"/>
  <c r="C20" i="2"/>
  <c r="C21" i="2"/>
  <c r="C22" i="2"/>
  <c r="C24" i="2"/>
  <c r="C27" i="2"/>
  <c r="C7" i="2"/>
  <c r="C5" i="2"/>
  <c r="C4" i="2"/>
  <c r="C3" i="2"/>
  <c r="C2" i="2"/>
  <c r="C88" i="1"/>
  <c r="C87" i="1"/>
  <c r="C86" i="1"/>
  <c r="C84" i="1"/>
  <c r="C83" i="1"/>
  <c r="C82" i="1"/>
  <c r="C80" i="1"/>
  <c r="C79" i="1"/>
  <c r="C77" i="1"/>
  <c r="C76" i="1"/>
  <c r="C75" i="1"/>
  <c r="C74" i="1"/>
  <c r="C73" i="1"/>
  <c r="C71" i="1"/>
  <c r="C70" i="1"/>
  <c r="C69" i="1"/>
  <c r="C68" i="1"/>
  <c r="C67" i="1"/>
  <c r="C65" i="1"/>
  <c r="C64" i="1"/>
  <c r="C62" i="1"/>
  <c r="C60" i="1"/>
  <c r="C58" i="1"/>
  <c r="C57" i="1"/>
  <c r="C56" i="1"/>
  <c r="C55" i="1"/>
  <c r="C53" i="1"/>
  <c r="C52" i="1"/>
  <c r="C51" i="1"/>
  <c r="C49" i="1"/>
  <c r="C48" i="1"/>
  <c r="C46" i="1"/>
  <c r="C44" i="1"/>
  <c r="C43" i="1"/>
  <c r="C42" i="1"/>
  <c r="C41" i="1"/>
  <c r="C39" i="1"/>
  <c r="C38" i="1"/>
  <c r="C37" i="1"/>
  <c r="C36" i="1"/>
  <c r="C34" i="1"/>
  <c r="C31" i="1"/>
  <c r="C29" i="1"/>
  <c r="C28" i="1"/>
  <c r="C26" i="1"/>
  <c r="C24" i="1"/>
  <c r="C23" i="1"/>
  <c r="C21" i="1"/>
  <c r="C20" i="1"/>
  <c r="C19" i="1"/>
  <c r="C17" i="1"/>
  <c r="C15" i="1"/>
  <c r="C14" i="1"/>
  <c r="C13" i="1"/>
  <c r="C11" i="1"/>
  <c r="C10" i="1"/>
  <c r="C9" i="1"/>
  <c r="C8" i="1"/>
  <c r="C7" i="1"/>
  <c r="C5" i="1"/>
  <c r="C4" i="1"/>
  <c r="C3" i="1"/>
  <c r="C2" i="1"/>
</calcChain>
</file>

<file path=xl/sharedStrings.xml><?xml version="1.0" encoding="utf-8"?>
<sst xmlns="http://schemas.openxmlformats.org/spreadsheetml/2006/main" count="1065" uniqueCount="360">
  <si>
    <t>MM, WM + SRM</t>
  </si>
  <si>
    <t>Grade</t>
  </si>
  <si>
    <t>Exp Level</t>
  </si>
  <si>
    <t>JD Ref ID</t>
  </si>
  <si>
    <t>JD</t>
  </si>
  <si>
    <t>Panel</t>
  </si>
  <si>
    <t>SAP SD, LE</t>
  </si>
  <si>
    <t>IS1</t>
  </si>
  <si>
    <t>Good communication and interpersonal skills.  Should be able to learn quickly on the new areas / cross functional areas
Experience either worked in the SAP AMS /  SAP config and development track
Experince in  SAP SD mainly covering Understanding on Sales Process, Contract management, Pricing concepts, OTC, Partner Determination, Text Management, Pricing, Taxes, Billing, Credit Management, Back Orders, and Master Data Management (MDM).
Experience in configuring Master Data, Document Types (Sales Order Types, Delivery Documents, Billing Documents, Credit and debit memo, etc.) including special order types (Third Party Processing, Consignment Processing, Inter-Company Billing and Inter-company stock transfers), Availability Check, Material Listing/Exclusion, Rebate processing, Deliveries and Post Goods Issues.
Experience Required :
0-2 years of experience with 1 implementation on SAP ERP implementation experience and 1 AMS experience worked with global customers
Good understanding of SAP Fiori apps 
Experience in SAP cross-functional areas such as FI/CO, MM/PP
Good understanding of all types of order processing models, including B2B, B2C, EDI would be added advantage
Experience in project cut-over, successful go-live and client handling during PGLS and alignment with AMS teams will be valued. 
Good knowledge in the below areas :
Electronic data interchange (EDI) : EDI Mapping
Integration: Materials Management(MM), Finance, Transportation Management, Management Accounting
Experience of third-party application integration using SAP PI/PO such as WM etc.</t>
  </si>
  <si>
    <t>IS2</t>
  </si>
  <si>
    <t>Good communication and interpersonal skills.  Should be able to learn quickly on the new areas / cross functional areas
Experience either worked in the SAP AMS /  SAP config and development track
Experince in  SAP SD mainly covering Understanding on Sales Process, Contract management, Pricing concepts, OTC, Partner Determination, Text Management, Pricing, Taxes, Billing, Credit Management, Back Orders, and Master Data Management (MDM).
Experience in configuring Master Data, Document Types (Sales Order Types, Delivery Documents, Billing Documents, Credit and debit memo, etc.) including special order types (Third Party Processing, Consignment Processing, Inter-Company Billing and Inter-company stock transfers), Availability Check, Material Listing/Exclusion, Rebate processing, Deliveries and Post Goods Issues.
Experience Required :
2-5 years of experience with 1 implementation on SAP ERP implementation experience and 1 AMS experience worked with global customers
Good understanding of SAP Fiori apps 
Experience in SAP cross-functional areas such as FI/CO, MM/PP
Good understanding of all types of order processing models, including B2B, B2C, EDI would be added advantage
Experience in project cut-over, successful go-live and client handling during PGLS and alignment with AMS teams will be valued. 
Good knowledge in the below areas :
Electronic data interchange (EDI) : EDI Mapping
Integration: Materials Management(MM), Finance, Transportation Management, Management Accounting
Experience of third-party application integration using SAP PI/PO such as WM etc.</t>
  </si>
  <si>
    <t>IS3</t>
  </si>
  <si>
    <t>Independently take up and participate in Business workshops, Design End to End solutions  .
Extensive experience either worked in the SAP AMS /  SAP config and development track
The candidate must have strong design and implementation knowledge of SAP SD mainly covering Understanding on Sales Process, Contract management, Pricing concepts, OTC, Partner Determination, Text Management, Pricing, Taxes, Billing, Credit Management, Back Orders, and Master Data Management (MDM).
Strong experience in configuring Master Data, Document Types (Sales Order Types, Delivery Documents, Billing Documents, Credit and debit memo, etc.) including special order types (Third Party Processing, Consignment Processing, Inter-Company Billing and Inter-company stock transfers), Availability Check, Material Listing/Exclusion, Rebate processing, Deliveries and Post Goods Issues.
Exceptional communication and interpersonal skills.
Experience Required :
Minimum 5-7 years of experience with 1-2 implementation on SAP ERP implementation experience and 2 AMS experience worked with global customers
Good understanding of SAP Fiori apps 
Experience in SAP cross-functional areas such as FI/CO, MM/PP
Strong understanding of all types of order processing models, including B2B, B2C, EDI.
Business knowledge and solution design experience in all areas of the Order To Cash cycle, including order processing and credit management
Proven experience in project cut-over, successful go-live and client handling during PGLS and alignment with AMS teams will be valued. 
Should also have additional knowledge in the below areas :
Electronic data interchange (EDI) : EDI Mapping
Integration: Materials Management(MM), Finance, Transportation Management, Management Accounting
Experience of third-party application integration using SAP PI/PO such as WM etc.</t>
  </si>
  <si>
    <t>IS4</t>
  </si>
  <si>
    <t>Independently take up and participate in Business workshops, Design End to End solutions with SAP Activate, Agile and DevOps methodologies.
Extensive experience either in leading the SAP AMS /  leading the SAP config and development track
The candidate must have strong design and implementation knowledge of SAP SD mainly covering Understanding on Sales Process, Contract management, Pricing concepts, OTC, Partner Determination, Text Management, Pricing, Taxes, Billing, Credit Management, Back Orders, and Master Data Management (MDM).
Strong experience in configuring Master Data, Document Types (Sales Order Types, Delivery Documents, Billing Documents, Credit and debit memo, etc.) including special order types (Third Party Processing, Consignment Processing, Inter-Company Billing and Inter-company stock transfers), Availability Check, Material Listing/Exclusion, Rebate processing, Deliveries and Post Goods Issues.
Exceptional communication and interpersonal skills.
Experience Required :
Minimum 7-10 years of experience with 2-3 implementation on SAP ERP implementation experience
Good understanding of SAP Fiori apps 
Experience in SAP cross-functional areas such as FI/CO, MM/PP
Strong understanding of all types of order processing models, including B2B, B2C, EDI.
Business knowledge and solution design experience in all areas of the Order To Cash cycle, including order processing and credit management
Proven experience in project cut-over, successful go-live and client handling during PGLS and alignment with AMS teams will be valued. 
Should also have additional knowledge in the below areas :
Electronic data interchange (EDI) : EDI Mapping
Integration: Materials Management(MM), Finance, Transportation Management, Management Accounting
Experience of third-party application integration using SAP PI/PO such as WM etc.</t>
  </si>
  <si>
    <t>Experience either in wored in SAP AMS /  SAP config and development track
Good communication and interpersonal skills.  Should be able to learn quickly on the new areas / cross functional areas
Should possess natural analytical way of thinking and troubleshooting issues.
Technical analysis and documentation of SAP MM/WM application, and it’s integration with other SAP applications like SAP TM, SAP SD, SAP FI and 3rd party applications. 
Experience Required :
Experienced in the areas of SAP ERP MM-PO &amp; MM-IM including Purchase Requisition and Purchase Orders, set up of stock transport orders, Purchase Pricing, PO Release and approvals, Inventory movements and integration to SAP SD (Sales and distribution) SAP Finance, SAP WM (Warehouse Management) etc. 
Inbound and Outbound IDOCs and Interfaces, Purchasing Output Management and Forms.
Understanding in Master data related to procurement like materials, Info records, Business Partners etc.
Good understanding of SAP Fiori apps 
Experienced with 3rd party interfaces and integration.
Experience in project cut-over, successful go-live and client handling during PGLS and alignment with AMS teams will be valued. 
Experience in Third party integration – Movilizer, Barcoding, 3rd party applications would be added advantage</t>
  </si>
  <si>
    <t>Independently take up and participate in Business workshops, Design End to End solutions 
Extensive experience either in wored in SAP AMS /  SAP config and development track
Should possess natural analytical way of thinking and troubleshooting issues.
Good communication and interpersonal skills.
Technical analysis and documentation of SAP MM/WM application, and it’s integration with other SAP applications like SAP TM, SAP SD, SAP FI and 3rd party applications. 
Experience Required :
Experienced in the areas of SAP ERP MM-PO &amp; MM-IM including Purchase Requisition and Purchase Orders, set up of stock transport orders, Purchase Pricing, PO Release and approvals, Inventory movements and integration to SAP SD (Sales and distribution) SAP Finance, SAP WM (Warehouse Management) etc. 
Inbound and Outbound IDOCs and Interfaces, Purchasing Output Management and Forms.
Understanding in Master data related to procurement like materials, Info records, Business Partners etc.
Good understanding of SAP Fiori apps 
Experienced with 3rd party interfaces and integration.
5-7 years overall experience and Implementation and delivery experience, which should include at least 1-2 full project lifecycles on SAP ERP and 2 AMS support experience worked across global customers  
Proven experience in project cut-over, successful go-live and client handling during PGLS and alignment with AMS teams will be valued. 
Third party integration – Movilizer, Barcoding, 3rd party applications</t>
  </si>
  <si>
    <t>Independently take up and participate in Business workshops, Design End to End solutions with SAP Activate, Agile and DevOps methodologies.
Extensive experience either in leading the SAP AMS /  leading the SAP config and development track
Requirements gathering, project planning and management, solution design, configuration and customization of SAP ERP MM-PO and MM-IM, WM
Should possess natural analytical way of thinking and troubleshooting issues.
Exceptional communication and interpersonal skills.
Technical analysis and documentation of SAP MM/WM application, and it’s integration with other SAP applications like SAP TM, SAP SD, SAP FI and 3rd party applications. 
Experience Required :
Highly experienced in the areas of SAP ERP MM-PO &amp; MM-IM including Purchase Requisition and Purchase Orders, set up of stock transport orders, Purchase Pricing, PO Release and approvals, Inventory movements and integration to SAP SD (Sales and distribution) SAP Finance, SAP WM (Warehouse Management) etc. 
Inbound and Outbound IDOCs and Interfaces, Purchasing Output Management and Forms.
Understanding in Master data related to procurement like materials, Info records, Business Partners etc.
Good understanding of SAP Fiori apps 
Experienced with 3rd party interfaces and integration.
7-10 years overall experience and Implementation and delivery experience, which should include at least 2-3 full project lifecycles on SAP ERP.  
Proven experience in project cut-over, successful go-live and client handling during PGLS and alignment with AMS teams will be valued. 
Third party integration – Movilizer, Barcoding, 3rd party applications</t>
  </si>
  <si>
    <t>IS5</t>
  </si>
  <si>
    <t>Independently take up and participate in Business workshops, Design End to End solutions with SAP Activate, Agile and DevOps methodologies.
Extensive experience either in leading the SAP AMS /  leading the SAP config and development track
Requirements gathering, project planning and management, solution design, configuration and customization of SAP ERP MM-PO and MM-IM, WM
Should possess natural analytical way of thinking and troubleshooting issues.
Exceptional communication and interpersonal skills.
Technical analysis and documentation of SAP MM/WM application, and it’s integration with other SAP applications like SAP TM, SAP SD, SAP FI and 3rd party applications. 
Experience Required :
Highly experienced in the areas of SAP ERP MM-PO &amp; MM-IM including Purchase Requisition and Purchase Orders, set up of stock transport orders, Purchase Pricing, PO Release and approvals, Inventory movements and integration to SAP SD (Sales and distribution) SAP Finance, SAP WM (Warehouse Management) etc. 
Inbound and Outbound IDOCs and Interfaces, Purchasing Output Management and Forms.
Understanding in Master data related to procurement like materials, Info records, Business Partners etc.
Good understanding of SAP Fiori apps 
Experienced with 3rd party interfaces and integration.
10+ years overall experience and Implementation and delivery experience, which should include at least 2-3 full project lifecycles on SAP ERP.  
Proven experience in project cut-over, successful go-live and client handling during PGLS and alignment with AMS teams will be valued. 
Third party integration – Movilizer, Barcoding, 3rd party applications</t>
  </si>
  <si>
    <t>FI, CO</t>
  </si>
  <si>
    <t>Should possess natural analytical way of thinking and troubleshooting issues.
Good communication and interpersonal skills.  Should be able to learn quickly on the new areas / cross functional areas
Pls look for unique roles as follows :
1. SAP FICO, 2. SAP Treasury Managemant, 3. SAP Cash Management, 4. SAP Central Finance
Experience Required :
0-2 years of experience with 1 implementation in SAP ERP and 1 AMS expereince worked with Global customer 
Experience in SAP cross-functional areas such as SD, MM/PP, PS
Good knowledge in all types of order processing models, including B2B, B2C, EDI.
Experience in project cut-over, successful go-live and client handling during PGLS and alignment with AMS teams will be valued. 
Experience in FI: G/L, AP, AR, Treasury, Assets, Closing and Reporting, CO: CCA, PCA, Internal order, CO-PA, CO-PC
Experience in Controlling submodules like CO-Product Costing and CO-Profitability Analysis and CO-Profit center Accounting is must.
SAP Functional configuration expertise in General Ledger (FI- GL), Controlling (CO), Accounts Receivable (AR), Accounts Payable (AP), Asset Accounting (AA), Project Systems (PS) Profitability Analysis (PA), New GL,
Experience in Financial Month end Activity, Financial Closing Cockpit(Task template, Task list) and Intercompany reconciliation process. 
Good to have knowledge in Fiori Apps, Fiori Launchpad, Fiori Launchpad Designer configuration &amp; feature and Fiori application types.</t>
  </si>
  <si>
    <t>Should possess natural analytical way of thinking and troubleshooting issues.
Good communication and interpersonal skills.  Should be able to learn quickly on the new areas / cross functional areas
Pls look for unique roles as follows :
1. SAP FICO, 2. SAP Treasury Managemant, 3. SAP Cash Management, 4. SAP Central Finance
Experience Required :
2-5 years of experience with 1 implementation in SAP ERP and 1 AMS expereince worked with Global customer 
Experience in SAP cross-functional areas such as SD, MM/PP, PS
Good knowledge in all types of order processing models, including B2B, B2C, EDI.
Experience in project cut-over, successful go-live and client handling during PGLS and alignment with AMS teams will be valued. 
Experience in FI: G/L, AP, AR, Treasury, Assets, Closing and Reporting, CO: CCA, PCA, Internal order, CO-PA, CO-PC
Experience in Controlling submodules like CO-Product Costing and CO-Profitability Analysis and CO-Profit center Accounting is must.
SAP Functional configuration expertise in General Ledger (FI- GL), Controlling (CO), Accounts Receivable (AR), Accounts Payable (AP), Asset Accounting (AA), Project Systems (PS) Profitability Analysis (PA), New GL,
Experience in Financial Month end Activity, Financial Closing Cockpit(Task template, Task list) and Intercompany reconciliation process. 
Good to have knowledge in Fiori Apps, Fiori Launchpad, Fiori Launchpad Designer configuration &amp; feature and Fiori application types.</t>
  </si>
  <si>
    <t>Independently take up and participate in Business workshops, Design End to End solutions with SAP 
Should possess natural analytical way of thinking and troubleshooting issues.
Good communication and interpersonal skills.
Pls look for unique roles as follows :
1. SAP FICO, 2. SAP Treasury Managemant, 3. SAP Cash Management, 4. SAP Central Finance
Experience Required :
Minimum 5-7 years of experience with 1-2 implementation in SAP ERP and 3 AMS expereince worked with Global customer 
Experience in SAP cross-functional areas such as SD, MM/PP, PS
Strong understanding of all types of order processing models, including B2B, B2C, EDI.
Proven experience in project cut-over, successful go-live and client handling during PGLS and alignment with AMS teams will be valued. 
Strong experience in FI: G/L, AP, AR, Treasury, Assets, Closing and Reporting, CO: CCA, PCA, Internal order, CO-PA, CO-PC
Very good experience in Controlling submodules like CO-Product Costing and CO-Profitability Analysis and CO-Profit center Accounting is must.
SAP Functional configuration expertise in General Ledger (FI- GL), Controlling (CO), Accounts Receivable (AR), Accounts Payable (AP), Asset Accounting (AA), Project Systems (PS) Profitability Analysis (PA), New GL,
Experience in Financial Month end Activity, Financial Closing Cockpit(Task template, Task list) and Intercompany reconciliation process. 
Experience with Simple Finance / Central Finance exposure will be given preference
Project experience activities to include preparation, synchronization, conversion and post processing, table mapping for HANA, comprehensive knowledge of BP roles and functionality of S4 HANA Finance is preferred. Should have an overview of Deployment option for S4H.
Good to have knowledge in Fiori Apps, Fiori Launchpad, Fiori Launchpad Designer configuration &amp; feature and Fiori application types.</t>
  </si>
  <si>
    <t>Independently take up and participate in Business workshops, Design End to End solutions with SAP 
Extensive experience in delivering Agile, DevOps, Activate methology 
Extensive experience either in leading the SAP AMS /  leading the SAP config and development track
Should possess natural analytical way of thinking and troubleshooting issues.
Exceptional communication and interpersonal skills.
Understanding new business strategies, providing recommendations for automated solutions to support new strategies
Pls look for unique roles as follows :
1. SAP FICO, 2. SAP Treasury Managemant, 3. SAP Cash Management, 4. SAP Central Finance
Experience Required :
Minimum 7 years of experience with 2-3 implementation on S/4Hana implementation experience
Experience in SAP cross-functional areas such as SD, MM/PP, PS
Strong understanding of all types of order processing models, including B2B, B2C, EDI.
Proven experience in project cut-over, successful go-live and client handling during PGLS and alignment with AMS teams will be valued. 
Strong experience in FI: G/L, AP, AR, Treasury, Assets, Closing and Reporting, CO: CCA, PCA, Internal order, CO-PA, CO-PC
Very good experience in Controlling submodules like CO-Product Costing and CO-Profitability Analysis and CO-Profit center Accounting is must.
SAP Functional configuration expertise in General Ledger (FI- GL), Controlling (CO), Accounts Receivable (AR), Accounts Payable (AP), Asset Accounting (AA), Project Systems (PS) Profitability Analysis (PA), New GL,
Experience in Financial Month end Activity, Financial Closing Cockpit(Task template, Task list) and Intercompany reconciliation process. 
Experience with Simple Finance / Central Finance exposure will be given preference
Project experience activities to include preparation, synchronization, conversion and post processing, table mapping for HANA, comprehensive knowledge of BP roles and functionality of S4 HANA Finance is preferred. Should have an overview of Deployment option for S4H.
Good to have knowledge in Fiori Apps, Fiori Launchpad, Fiori Launchpad Designer configuration &amp; feature and Fiori application types.</t>
  </si>
  <si>
    <t>Independently take up and participate in Business workshops, Design End to End solutions with SAP 
Extensive experience in delivering Agile, DevOps, Activate methology 
Extensive experience either in leading the SAP AMS /  leading the SAP config and development track
Should possess natural analytical way of thinking and troubleshooting issues.
Exceptional communication and interpersonal skills.
Understanding new business strategies, providing recommendations for automated solutions to support new strategies
Pls look for unique roles as follows :
1. SAP FICO, 2. SAP Treasury Managemant, 3. SAP Cash Management, 4. SAP Central Finance
Experience Required :
Minimum 10 years of experience with 2-3 implementation on S/4Hana implementation experience
Experience in SAP cross-functional areas such as SD, MM/PP, PS
Strong understanding of all types of order processing models, including B2B, B2C, EDI.
Proven experience in project cut-over, successful go-live and client handling during PGLS and alignment with AMS teams will be valued. 
Strong experience in FI: G/L, AP, AR, Treasury, Assets, Closing and Reporting, CO: CCA, PCA, Internal order, CO-PA, CO-PC
Very good experience in Controlling submodules like CO-Product Costing and CO-Profitability Analysis and CO-Profit center Accounting is must.
SAP Functional configuration expertise in General Ledger (FI- GL), Controlling (CO), Accounts Receivable (AR), Accounts Payable (AP), Asset Accounting (AA), Project Systems (PS) Profitability Analysis (PA), New GL,
Experience in Financial Month end Activity, Financial Closing Cockpit(Task template, Task list) and Intercompany reconciliation process. 
Experience with Simple Finance / Central Finance exposure will be given preference
Project experience activities to include preparation, synchronization, conversion and post processing, table mapping for HANA, comprehensive knowledge of BP roles and functionality of S4 HANA Finance is preferred. Should have an overview of Deployment option for S4H.
Good to have knowledge in Fiori Apps, Fiori Launchpad, Fiori Launchpad Designer configuration &amp; feature and Fiori application types.</t>
  </si>
  <si>
    <t>FI+TRM Finance</t>
  </si>
  <si>
    <t>Independently take up and participate in Business workshops, Design End to End solutions with SAP 
Extensive experience in delivering Agile, DevOps, Activate methology 
Extensive experience either in leading the SAP AMS /  leading the SAP config and development track
Should possess natural analytical way of thinking and troubleshooting issues.
Exceptional communication and interpersonal skills.
Understanding new business strategies, providing recommendations for automated solutions to support new strategies
Pls look for unique roles as follows :
1. SAP FICO, 2. SAP Treasury Managemant, 3. SAP Cash Management, 4. SAP Central Finance
Experience Required :
Minimum 7-10 years of experience with 2-3 implementation on S/4Hana implementation experience
Experience in SAP cross-functional areas such as SD, MM/PP, PS
Strong understanding of all types of order processing models, including B2B, B2C, EDI.
Proven experience in project cut-over, successful go-live and client handling during PGLS and alignment with AMS teams will be valued. 
Strong experience in FI: G/L, AP, AR, Treasury, Assets, Closing and Reporting, CO: CCA, PCA, Internal order, CO-PA, CO-PC
Very good experience in Controlling submodules like CO-Product Costing and CO-Profitability Analysis and CO-Profit center Accounting is must.
SAP Functional configuration expertise in General Ledger (FI- GL), Controlling (CO), Accounts Receivable (AR), Accounts Payable (AP), Asset Accounting (AA), Project Systems (PS) Profitability Analysis (PA), New GL,
Experience in Financial Month end Activity, Financial Closing Cockpit(Task template, Task list) and Intercompany reconciliation process. 
Experience with Simple Finance / Central Finance exposure will be given preference
Project experience activities to include preparation, synchronization, conversion and post processing, table mapping for HANA, comprehensive knowledge of BP roles and functionality of S4 HANA Finance is preferred. Should have an overview of Deployment option for S4H.
Good to have knowledge in Fiori Apps, Fiori Launchpad, Fiori Launchpad Designer configuration &amp; feature and Fiori application types.</t>
  </si>
  <si>
    <t>PP</t>
  </si>
  <si>
    <t>Good communication and interpersonal skills.  Should be able to learn quickly on the new areas / cross functional areas
Experience either in worked in SAP AMS /  SAP config and development track
Should possess natural analytical way of thinking and troubleshooting issues.
Experience Required :
2-5 years overall experience and Implementation and delivery experience, which should include at least 1 full project lifecycles on SAP ERP and 2 AMS support projects worked for global customers 
Good understanding of SAP Fiori apps 
Experienced with 3rd party interfaces and integration.
Experience in project cut-over, successful go-live and client handling during PGLS and alignment with AMS teams will be valued. 
Desired Skills
Expereince worked in across various End to End business processes and Best Practices across diversified businesses would be able to transform viable business needs and requirements into solutions quick and profound.
Experience in SAP Production Planning – Discrete Manufacturing,  Production Order Process, Planning Process – MRP, Sales and Operations Planning (SOP), MPS, Variant Configuration, SAP Batch Management, Serial Number Management, PP/QM Configuration, Baseline Configuration
SAP QM – Master data, inspection plan, calibration inspection, Quality certificate, Quality Notification, Control charts, Sample Management</t>
  </si>
  <si>
    <t>Independently take up and participate in Business workshops, Design End to End solutions 
Extensive experience either in worked in SAP AMS /  SAP config and development track
Should possess natural analytical way of thinking and troubleshooting issues.
Exceptional communication and interpersonal skills.
Providing recommendations for automated solutions to support new strategies
Should have worked as SAP ERP Senior lead consultant for past 4 years in SAP PP, SAP PM, SAP QM
Experience Required :
5-7 years overall experience and Implementation and delivery experience, which should include at least 1-2 full project lifecycles on SAP ERP and 2 AMS support projects worked for global customers 
Good understanding of SAP Fiori apps 
Experienced with 3rd party interfaces and integration.
Proven experience in project cut-over, successful go-live and client handling during PGLS and alignment with AMS teams will be valued. 
Desired Skills
Expereince worked in across various End to End business processes and Best Practices across diversified businesses would be able to transform viable business needs and requirements into solutions quick and profound.
Experience in SAP Production Planning – Discrete Manufacturing,  Production Order Process, Planning Process – MRP, Sales and Operations Planning (SOP), MPS, Variant Configuration, SAP Batch Management, Serial Number Management, PP/QM Configuration, Baseline Configuration
SAP QM – Master data, inspection plan, calibration inspection, Quality certificate, Quality Notification, Control charts, Sample Management</t>
  </si>
  <si>
    <t>QM</t>
  </si>
  <si>
    <t>PM</t>
  </si>
  <si>
    <t>Excise Duty - FI (custom development)</t>
  </si>
  <si>
    <t>Recipe Mgmt - PP (custom development)</t>
  </si>
  <si>
    <t>•	Leverage your expert knowledge of business processes and challenges related to planning, supply chain and manufacturing for process industry companies
•	Develop PP-PI specific solutions using elements such as batching, recipe management, PI sheets and XSteps and interface with connection points such as MM, SD, and FICO
•	Lead analysis and design sessions to create requirements to develop the right client solution
•	Share best practices, industry knowledge, and personal expertise to educate both clients and fellow consultants, in formal and ad hoc settings
•	Experience in PP Support Projects
In-depth knowledge in the below areas:
•	Master Data - Bill of materials-BOM
•	Work centers/ Resources,
•	Routings/ Recipe, Production versions,
•	Material Requirement Planning -MRP
•	Configuration and Integration with, Procurement, Sales and Distribution, New strategy definition
•	Batch Management
•	Classification
•	Production Order Execution - Order confirmation, Goods issue, Goods receipt and Back flushing
•	Planning: Forecasting, Sales Operation Planning, LTP, PPDS
•	Designed and provided completed upload data templates for Master Data migration from Legacy system to the Core SAP system.
•	Scheduling and Monitoring of Back Ground / Batch Jobs
•	Worked on Developing/Executing test scenarios and test cases. Hands on experience in Unit Testing, Integration Testing and Quality Assurance, error and bug track using HP Quality Center or any other testing tool.
•	Experienced in configuration and set-up of the PP Recipe Management module through IMG and supporting day to day PP Recipe Management module issues, providing enhancements and translating them into system configuration requirements.
•	Worked on Business Requirements 
•	Configured material classification, characteristics and classes; this enabled grouping together of certain materials according to a predefined criterion.
•	Worked on Developing/Executing test scenarios and test cases. Hands on experience in Unit Testing, Integration Testing and Quality Assurance
•	Resolved issues with the Client in existing business processes and issues that required configuration changes</t>
  </si>
  <si>
    <t>•	Leverage your expert knowledge of business processes and challenges related to planning, supply chain and manufacturing for process industry companies
•	Develop PP-PI specific solutions using elements such as batching, recipe management, PI sheets and XSteps and interface with connection points such as MM, SD, and FICO
•	Lead analysis and design sessions to create requirements to develop the right client solution
•	Share best practices, industry knowledge, and personal expertise to educate both clients and fellow consultants, in formal and ad hoc settings
•	Act as a team lead for other consultants and client personnel (depending on specific project need)
•	Lead product demos to help prospects understand process and systems capabilities and business benefits
•	Experience in Implementation and Support Projects. 
In-depth knowledge in the below areas:
•	Master Data - Bill of materials-BOM
•	Work centers/ Resources,
•	Routings/ Recipe, Production versions,
•	Material Requirement Planning -MRP
•	Configuration and Integration with, Procurement, Sales and Distribution, New strategy definition
•	Batch Management
•	Classification
•	Production Order Execution - Order confirmation, Goods issue, Goods receipt and Back flushing
•	Planning: Forecasting, Sales Operation Planning, LTP, PPDS
•	Designed and provided completed upload data templates for Master Data migration from Legacy system to the Core SAP system.
•	Scheduling and Monitoring of Back Ground / Batch Jobs
•	Worked on Developing/Executing test scenarios and test cases. Hands on experience in Unit Testing, Integration Testing and Quality Assurance, error and bug track using HP Quality Center or any other testing tool.
•	Experienced in configuration and set-up of the PP Recipe Management module through IMG and supporting day to day PP Recipe Management module issues, providing enhancements and translating them into system configuration requirements.
•	Worked on Business Requirements 
•	Configured material classification, characteristics and classes; this enabled grouping together of certain materials according to a predefined criterion.
•	Worked on Developing/Executing test scenarios and test cases. Hands on experience in Unit Testing, Integration Testing and Quality Assurance
•	Resolved issues with the Client in existing business processes and issues that required configuration changes</t>
  </si>
  <si>
    <t>FSCM (TRM Finance)</t>
  </si>
  <si>
    <t>ABAP</t>
  </si>
  <si>
    <t>0-2 years of experinece, 1 implementation and 1 support engagement
Experience either in worked in SAP AMS / SAP config and development track
Pls look for unique roles :  1. SAP ABAP, 2. SAP Workflow, SAP Fiori
Good experience within the following SAP toolsets: Middleware, BDOCs, ABAP Mapping, SLD/IR/ID configuration, Web Services, Screen Painter, Classes/Methods, BSPs, ABAP Workbench, WebDynpro for JAVA/ABAP, Workflow, Object Oriented ABAP, Function modules (RFC), SAP Script, Smartforms, Adobe Forms, BPM, User Exits, BADIs, ALV, ALE, EDI, IDOCs, CMOD, Enhancement Spots, BDC/Call Transaction, Logical Database, Data Dictionary, SAP Fiori etc.
Good experience in SAP FIORI/UI5 application development, Fiori Design pattern, UI Theme designer, UI principles, FIORI Launchpad configuration, FIORI Gateway Services
Java, JavaScript, CSS, HTML5, JQuery development experience preferred
Experience in worked multiple modules of SD, MM, PP/QM, WM, APO, FICO, TRM etc.
Good communication and interpersonal skills.  Should be able to learn quickly on the new areas / cross functional areas</t>
  </si>
  <si>
    <t>2-5 years of experinece, 1 implementation and 1 support engagement
Experience either in worked in SAP AMS / SAP config and development track
Pls look for unique roles :  1. SAP ABAP, 2. SAP Workflow, SAP Fiori
Good experience within the following SAP toolsets: Middleware, BDOCs, ABAP Mapping, SLD/IR/ID configuration, Web Services, Screen Painter, Classes/Methods, BSPs, ABAP Workbench, WebDynpro for JAVA/ABAP, Workflow, Object Oriented ABAP, Function modules (RFC), SAP Script, Smartforms, Adobe Forms, BPM, User Exits, BADIs, ALV, ALE, EDI, IDOCs, CMOD, Enhancement Spots, BDC/Call Transaction, Logical Database, Data Dictionary, SAP Fiori etc.
Good experience in SAP FIORI/UI5 application development, Fiori Design pattern, UI Theme designer, UI principles, FIORI Launchpad configuration, FIORI Gateway Services
Java, JavaScript, CSS, HTML5, JQuery development experience preferred
Experience in worked multiple modules of SD, MM, PP/QM, WM, APO, FICO, TRM etc.
Good communication and interpersonal skills.  Should be able to learn quickly on the new areas / cross functional areas</t>
  </si>
  <si>
    <t>Independently take up and participate in Business workshops, Design End to End solutions 
Extensive experience either in worked in SAP AMS / SAP config and development track
Pls look for unique roles :  1. SAP ABAP, 2. SAP Workflow, SAP Fiori
Extensive experience within the following SAP toolsets: Middleware, BDOCs, ABAP Mapping, SLD/IR/ID configuration, Web Services, Screen Painter, Classes/Methods, BSPs, ABAP Workbench, WebDynpro for JAVA/ABAP, Workflow, Object Oriented ABAP, Function modules (RFC), SAP Script, Smartforms, Adobe Forms, BPM, User Exits, BADIs, ALV, ALE, EDI, IDOCs, CMOD, Enhancement Spots, BDC/Call Transaction, Logical Database, Data Dictionary, SAP Fiori etc.
Extensive experience in SAP FIORI/UI5 application development, Fiori Design pattern, UI Theme designer, UI principles, FIORI Launchpad configuration, FIORI Gateway Services
Java, JavaScript, CSS, HTML5, JQuery development experience preferred
Experience in worked multiple modules of SD, MM, PP/QM, WM, APO, FICO, TRM etc.</t>
  </si>
  <si>
    <t>Independently take up and participate in Business workshops, Design End to End solutions with SAP Activate, Agile and DevOps methodologies.
Extensive experience either in leading the SAP AMS /  leading the SAP config and development track
Pls look for unique roles :  1. SAP ABAP, 2. SAP Workflow, SAP Fiori
Extensive experience within the following SAP toolsets: Middleware, BDOCs, ABAP Mapping, SLD/IR/ID configuration, Web Services, Screen Painter, Classes/Methods, BSPs, ABAP Workbench, WebDynpro for JAVA/ABAP, Workflow, Object Oriented ABAP, Function modules (RFC), SAP Script, Smartforms, Adobe Forms, BPM, User Exits, BADIs, ALV, ALE, EDI, IDOCs, CMOD, Enhancement Spots, BDC/Call Transaction, Logical Database, Data Dictionary, SAP Fiori etc.
Extensive experience in SAP FIORI/UI5 application development, Fiori Design pattern, UI Theme designer, UI principles, FIORI Launchpad configuration, FIORI Gateway Services
Java, JavaScript, CSS, HTML5, JQuery development experience preferred
Experience in worked multiple modules of SD, MM, PP/QM, WM, APO, FICO, TRM etc.</t>
  </si>
  <si>
    <t>IS6</t>
  </si>
  <si>
    <t>Portal</t>
  </si>
  <si>
    <t>2-5 years’ experience with SAP implementation and SAP services management, 1 implementation and 1 AMS projects
Experience either in worked the SAP AMS /  the SAP config and development track
Should have working experience on SAP Enterprise Portal Administration and Development.
Should be exposed to atleast one of Webydnpro JAVA/ JAVA Portal applications design and development.
Good knowledge and understanding of LDAP, UME, SSO, FPN Configurations.
Experience in System object creation, transport of portal content, Destination Configurations.
Knowledge on UI theme designer and KM Content is added advantage.</t>
  </si>
  <si>
    <t>At least 5 years’ experience with SAP implementation and SAP services management with large global organisations with large SAP installations across multiple geographies.
Extensive experience either in worked the SAP AMS /  the SAP config and development track
Should have working experience on SAP Enterprise Portal Administration and Development.
Should be exposed to atleast one of Webydnpro JAVA/ JAVA Portal applications design and development.
Expertise on iViews, Pages, Roles, worksets creation in portal and in user administration activities.
Good knowledge and understanding of LDAP, UME, SSO, FPN Configurations.
Expertise in System object creation, transport of portal content, Destination Configurations.
Knowledge on UI theme designer and KM Content is added advantage.</t>
  </si>
  <si>
    <t>GRC (Access and Process control)</t>
  </si>
  <si>
    <t>Independently take up and participate in Business workshops, Design End to End solutions 
Extensive experience either in worked in SAP AMS /  SAP config and development track
Manage the creation and maintenance of business roles systems to ensure accurate translation of Business Process to Master Roles in SAP ERP, SAP APO, SAP Cloud based solutions, SAP BW, BPC and FIORI systems as well as timely updates to system access to meet changes to statutory requirements
Manage the Access Risk through Segregation of Duty (SoD) Ruleset and ensure that any changes in the satellite systems are not moved into Production before completing SoD analysis on the changes.
Support the Risk and Governance Secretariat, ensuring that the SoD framework is upheld and strictly adhered to always.
Prepare timely and accurate reports and analysis for reporting to Management, and for Audit review.
Support the Change Control Board Secretariat, ensuring that all Change Requests to the SAP landscape have been assessed for impact on business operations, existing system resources and maintainability.
Requirements
2-5 years of experience with 1-2 implementation in SAP ERP and 3 AMS expereince worked with Global customer 
Concepts , Seggregation of Duties(SoD), Risk Analysis and Role Remediation.
Experience with complex cutovers especially related to security tasks both in an implementation and upgrade project.
Must have experience in Security and GRC Access Control 10.0
Possess troubleshooting skills for quick resolution of authorization defects.
Prior exposure to Multiple SAP Products and their functionality is a must
Good communication and interpersonal skills.  Should be able to learn quickly on the new areas / cross functional areas</t>
  </si>
  <si>
    <t>Independently take up and participate in Business workshops, Design End to End solutions 
Extensive experience either in worked in SAP AMS /  SAP config and development track
Manage the creation and maintenance of business roles systems to ensure accurate translation of Business Process to Master Roles in SAP ERP, SAP APO, SAP Cloud based solutions, SAP BW, BPC and FIORI systems as well as timely updates to system access to meet changes to statutory requirements
Manage the Access Risk through Segregation of Duty (SoD) Ruleset and ensure that any changes in the satellite systems are not moved into Production before completing SoD analysis on the changes.
Support the Risk and Governance Secretariat, ensuring that the SoD framework is upheld and strictly adhered to always.
Prepare timely and accurate reports and analysis for reporting to Management, and for Audit review.
Support the Change Control Board Secretariat, ensuring that all Change Requests to the SAP landscape have been assessed for impact on business operations, existing system resources and maintainability.
Requirements
Minimum 5-7 years of experience with 1-2 implementation in SAP ERP and 3 AMS expereince worked with Global customer 
Concepts , Seggregation of Duties(SoD), Risk Analysis and Role Remediation.
Experience with complex cutovers especially related to security tasks both in an implementation and upgrade project.
Must have experience in Security and GRC Access Control 10.0
Possess troubleshooting skills for quick resolution of authorization defects.
Prior exposure to Multiple SAP Products and their functionality is a must
Good interpersonal skills with good communication and presentation skills.</t>
  </si>
  <si>
    <t>Independently take up and participate in Business workshops, Design End to End solutions with SAP Activate, Agile and DevOps methodologies.
Extensive experience either in leading the SAP AMS /  leading the SAP config and development track
Manage the creation and maintenance of business roles systems to ensure accurate translation of Business Process to Master Roles in SAP ERP, SAP APO, SAP Cloud based solutions, SAP BW, BPC and FIORI systems as well as timely updates to system access to meet changes to statutory requirements
Manage the Access Risk through Segregation of Duty (SoD) Ruleset and ensure that any changes in the satellite systems are not moved into Production before completing SoD analysis on the changes.
Support the Risk and Governance Secretariat, ensuring that the SoD framework is upheld and strictly adhered to always.
Prepare timely and accurate reports and analysis for reporting to Management, and for Audit review.
Support the Change Control Board Secretariat, ensuring that all Change Requests to the SAP landscape have been assessed for impact on business operations, existing system resources and maintainability.
Requirements
7+ years of SAP Security Technical Experience with understanding of Authorization
Concepts , Seggregation of Duties(SoD), Risk Analysis and Role Remediation.
Experience with complex cutovers especially related to security tasks both in an implementation and upgrade project.
Must have experience in Security and GRC Access Control 10.0
Possess troubleshooting skills for quick resolution of authorization defects.
Prior exposure to Multiple SAP Products and their functionality is a must
Strong interpersonal skills with strong communication and presentation skills.</t>
  </si>
  <si>
    <t>SAP Security+GRC</t>
  </si>
  <si>
    <t>Independently take up and participate in Business workshops, Design End to End solutions 
Extensive experience either in worked in SAP AMS /  SAP config and development track
Manage the creation and maintenance of business roles systems to ensure accurate translation of Business Process to Master Roles in SAP ERP, SAP APO, SAP Cloud based solutions, SAP BW, BPC and FIORI systems as well as timely updates to system access to meet changes to statutory requirements
Manage the Access Risk through Segregation of Duty (SoD) Ruleset and ensure that any changes in the satellite systems are not moved into Production before completing SoD analysis on the changes.
Support the Risk and Governance Secretariat, ensuring that the SoD framework is upheld and strictly adhered to always.
Prepare timely and accurate reports and analysis for reporting to Management, and for Audit review.
Support the Change Control Board Secretariat, ensuring that all Change Requests to the SAP landscape have been assessed for impact on business operations, existing system resources and maintainability.
Requirements
0-2 years of experience with 1 implementation in SAP ERP and AMS expereince worked with Global customer 
Concepts , Seggregation of Duties(SoD), Risk Analysis and Role Remediation.
Experience with complex cutovers especially related to security tasks both in an implementation and upgrade project.
Must have experience in Security and GRC Access Control 10.0
Possess troubleshooting skills for quick resolution of authorization defects.
Prior exposure to Multiple SAP Products and their functionality is a must
Good communication and interpersonal skills.  Should be able to learn quickly on the new areas / cross functional areas</t>
  </si>
  <si>
    <t>FICO+CFIN/SLT</t>
  </si>
  <si>
    <t>Independently take up and participate in Business workshops, Design End to End solutions with SAP 
Should possess natural analytical way of thinking and troubleshooting issues.
Good communication and interpersonal skills.
Pls look for unique roles as follows :
1. SAP FICO, 2. SAP Treasury Managemant, 3. SAP Cash Management, 4. SAP Central Finance
Experience Required :
Minimum 7 years of experience with 1-2 implementation in SAP ERP and 3 AMS expereince worked with Global customer 
Experience in SAP cross-functional areas such as SD, MM/PP, PS
Strong understanding of all types of order processing models, including B2B, B2C, EDI.
Proven experience in project cut-over, successful go-live and client handling during PGLS and alignment with AMS teams will be valued. 
Strong experience in FI: G/L, AP, AR, Treasury, Assets, Closing and Reporting, CO: CCA, PCA, Internal order, CO-PA, CO-PC
Very good experience in Controlling submodules like CO-Product Costing and CO-Profitability Analysis and CO-Profit center Accounting is must.
SAP Functional configuration expertise in General Ledger (FI- GL), Controlling (CO), Accounts Receivable (AR), Accounts Payable (AP), Asset Accounting (AA), Project Systems (PS) Profitability Analysis (PA), New GL,
Experience in Financial Month end Activity, Financial Closing Cockpit(Task template, Task list) and Intercompany reconciliation process. 
Experience with Simple Finance / Central Finance exposure will be given preference
Project experience activities to include preparation, synchronization, conversion and post processing, table mapping for HANA, comprehensive knowledge of BP roles and functionality of S4 HANA Finance is preferred. Should have an overview of Deployment option for S4H.
Good to have knowledge in Fiori Apps, Fiori Launchpad, Fiori Launchpad Designer configuration &amp; feature and Fiori application types.</t>
  </si>
  <si>
    <t>S&amp;V (Fixed asset mgmt)</t>
  </si>
  <si>
    <t>SAP Basis</t>
  </si>
  <si>
    <t xml:space="preserve">Good communication and interpersonal skills.  Should be able to learn quickly on the new areas / cross functional areas
0-2 years’ experience with SAP implementation and SAP services management, 1 implementaiton and 1 AMS experinece
experience either worked in the SAP AMS /  leading the SAP config and development track
Essential Functions of the Job:
Assist with the configuration and maintenance of High Availability and Disaster Recovery SAP solutions.
Desired Knowledge and Skills Requirements:
Knowledge of SAP software and MS SQL and HANA databases, as well as working experience of key business applications including SAP ECC, BWoH, BOBJ, Cloud based solutions, PI/PO, SRM, SolMan, Fiori.
Experience working with SAP installations, upgrades (SAP version, EHP, SPS, Kernel, SUM), maintenance, monitoring, troubleshooting of issues and tuning and optimization.
Good knowledge on OS Windows/Linux administration, VMware virtualization, NAS/SAN storage, failover clustering, SAN replication, and other high availability technologies
Experience working with middleware, integration and web technologies for SAP solutions.
Experience working with Cloud solutions for SAP (installation, configuration, migration, testing, support).
Receive direction as the Basis team lead on strategy and operational support on integrated SAP systems and infrastructure.
Able to act independently, seeking consultation guidance and advice as appropriate
Experience in updates of Solution Manager, SLD and XI content as required. </t>
  </si>
  <si>
    <t xml:space="preserve">Good communication and interpersonal skills.  Should be able to learn quickly on the new areas / cross functional areas
2-5 years’ experience with SAP implementation and SAP services management, 1 implementaiton and 1 AMS experinece
experience either worked in the SAP AMS /  leading the SAP config and development track
Essential Functions of the Job:
Assist with the configuration and maintenance of High Availability and Disaster Recovery SAP solutions.
Desired Knowledge and Skills Requirements:
Knowledge of SAP software and MS SQL and HANA databases, as well as working experience of key business applications including SAP ECC, BWoH, BOBJ, Cloud based solutions, PI/PO, SRM, SolMan, Fiori.
Experience working with SAP installations, upgrades (SAP version, EHP, SPS, Kernel, SUM), maintenance, monitoring, troubleshooting of issues and tuning and optimization.
Good knowledge on OS Windows/Linux administration, VMware virtualization, NAS/SAN storage, failover clustering, SAN replication, and other high availability technologies
Experience working with middleware, integration and web technologies for SAP solutions.
Experience working with Cloud solutions for SAP (installation, configuration, migration, testing, support).
Receive direction as the Basis team lead on strategy and operational support on integrated SAP systems and infrastructure.
Able to act independently, seeking consultation guidance and advice as appropriate
Experience in updates of Solution Manager, SLD and XI content as required. </t>
  </si>
  <si>
    <t xml:space="preserve">At least 5 years’ experience with SAP implementation and SAP services management with large global organisations with large SAP installations across multiple geographies.
Extensive experience in delivering Agile, DevOps, Activate methology 
Extensive experience either in worked the SAP AMS /  worked the SAP config and development track
ssential Functions of the Job:
Architect and implement day-to-day SAP basis administration activities in a complex multi-tier SAP landscape.
Ensure SAP based systems operate reliably and efficiently in a secure environment.
Ensure the adherence of standards and SAP best practices.
Be accountable for the support and proactive monitoring of the core SAP applications including installation, performance, break fixes and change requests per business requirements
Research complex application/System integration issues with functional teams; examine integration between various systems (SAP and non-SAP) for inconsistencies.
Assist with the configuration and maintenance of High Availability and Disaster Recovery SAP solutions.
Desired Knowledge and Skills Requirements:
Thorough knowledge of SAP software and MS SQL and HANA databases, as well as working experience of key business applications including SAP ECC, BWoH, BOBJ, Cloud based solutions, PI/PO, SRM, SolMan, Fiori.
Experience working with SAP installations, upgrades (SAP version, EHP, SPS, Kernel, SUM), maintenance, monitoring, troubleshooting of issues and tuning and optimization.
Good knowledge on OS Windows/Linux administration, VMware virtualization, NAS/SAN storage, failover clustering, SAN replication, and other high availability technologies
Experience working with middleware, integration and web technologies for SAP solutions.
Experience working with Cloud solutions for SAP (installation, configuration, migration, testing, support).
Receive direction as the Basis team lead on strategy and operational support on integrated SAP systems and infrastructure.
Able to act independently, seeking consultation guidance and advice as appropriate
Experience in updates of Solution Manager, SLD and XI content as required. </t>
  </si>
  <si>
    <t xml:space="preserve">At least 7 years’ experience with SAP implementation and SAP services management with large global organisations with large SAP installations across multiple geographies.
Extensive experience in delivering Agile, DevOps, Activate methology 
Extensive experience either in leading the SAP AMS /  leading the SAP config and development track
ssential Functions of the Job:
Architect and implement day-to-day SAP basis administration activities in a complex multi-tier SAP landscape.
Ensure SAP based systems operate reliably and efficiently in a secure environment.
Ensure the adherence of standards and SAP best practices.
Be accountable for the support and proactive monitoring of the core SAP applications including installation, performance, break fixes and change requests per business requirements
Research complex application/System integration issues with functional teams; examine integration between various systems (SAP and non-SAP) for inconsistencies.
Assist with the configuration and maintenance of High Availability and Disaster Recovery SAP solutions.
Desired Knowledge and Skills Requirements:
Thorough knowledge of SAP software and MS SQL and HANA databases, as well as working experience of key business applications including SAP ECC, BWoH, BOBJ, Cloud based solutions, PI/PO, SRM, SolMan, Fiori.
Experience working with SAP installations, upgrades (SAP version, EHP, SPS, Kernel, SUM), maintenance, monitoring, troubleshooting of issues and tuning and optimization.
Good knowledge on OS Windows/Linux administration, VMware virtualization, NAS/SAN storage, failover clustering, SAN replication, and other high availability technologies
Experience working with middleware, integration and web technologies for SAP solutions.
Experience working with Cloud solutions for SAP (installation, configuration, migration, testing, support).
Receive direction as the Basis team lead on strategy and operational support on integrated SAP systems and infrastructure.
Able to act independently, seeking consultation guidance and advice as appropriate
Experience in updates of Solution Manager, SLD and XI content as required. </t>
  </si>
  <si>
    <t xml:space="preserve">At least 10 years’ experience with SAP implementation and SAP services management with large global organisations with large SAP installations across multiple geographies.
Extensive experience in delivering Agile, DevOps, Activate methology 
Extensive experience either in leading the SAP AMS /  leading the SAP config and development track
ssential Functions of the Job:
Architect and implement day-to-day SAP basis administration activities in a complex multi-tier SAP landscape.
Ensure SAP based systems operate reliably and efficiently in a secure environment.
Ensure the adherence of standards and SAP best practices.
Be accountable for the support and proactive monitoring of the core SAP applications including installation, performance, break fixes and change requests per business requirements
Research complex application/System integration issues with functional teams; examine integration between various systems (SAP and non-SAP) for inconsistencies.
Assist with the configuration and maintenance of High Availability and Disaster Recovery SAP solutions.
Desired Knowledge and Skills Requirements:
Thorough knowledge of SAP software and MS SQL and HANA databases, as well as working experience of key business applications including SAP ECC, BWoH, BOBJ, Cloud based solutions, PI/PO, SRM, SolMan, Fiori.
Experience working with SAP installations, upgrades (SAP version, EHP, SPS, Kernel, SUM), maintenance, monitoring, troubleshooting of issues and tuning and optimization.
Good knowledge on OS Windows/Linux administration, VMware virtualization, NAS/SAN storage, failover clustering, SAN replication, and other high availability technologies
Experience working with middleware, integration and web technologies for SAP solutions.
Experience working with Cloud solutions for SAP (installation, configuration, migration, testing, support).
Receive direction as the Basis team lead on strategy and operational support on integrated SAP systems and infrastructure.
Able to act independently, seeking consultation guidance and advice as appropriate
Experience in updates of Solution Manager, SLD and XI content as required. </t>
  </si>
  <si>
    <t>APO (DP, SNP, TLB) + SNC</t>
  </si>
  <si>
    <t>0-2 years’ experience with SAP implementation and SAP services management with large global organisations with large SAP installations across multiple geographies.
Experience either worked in the SAP AMS /  the SAP config and development track, 1 implementation and 1 AMS experinence
Essential Functions of the Job
Looking for unique roles for the JD
1. SAP DP, 2. SAP SNP, SAP PPDS, SAP SNC
Experience in one or more modules  : SCM solution – Demand Planning (APO DP), Distribution Requirements Planning and Manufacturing Planning (APO SNP and APO PP DS), Supplier Network Colloboration (SNC) influence skills to drive business solutions.
understanding of APO and interdependency of different processes within APO
Experience should be in End-to-end Implementation and AMS knowledge on either coupe of the modules - DP, SNP, CIF, PPDS, SNC, TLB and and  SAP APO-ECC integration
Good interpersonal skills and willing for learning and cross skilling</t>
  </si>
  <si>
    <t>2-5 years’ experience with SAP implementation and SAP services management with large global organisations with large SAP installations across multiple geographies.
Experience either worked in the SAP AMS /  the SAP config and development track, 1 implementation and 1 AMS experinence
Essential Functions of the Job
Looking for unique roles for the JD
1. SAP DP, 2. SAP SNP, SAP PPDS, SAP SNC
Experience in one or more modules  : SCM solution – Demand Planning (APO DP), Distribution Requirements Planning and Manufacturing Planning (APO SNP and APO PP DS), Supplier Network Colloboration (SNC) influence skills to drive business solutions.
understanding of APO and interdependency of different processes within APO
Experience should be in End-to-end Implementation and AMS knowledge on either coupe of the modules - DP, SNP, CIF, PPDS, SNC, TLB and and  SAP APO-ECC integration
Good interpersonal skills and willing for learning and cross skilling</t>
  </si>
  <si>
    <t>At least 5 years’ experience with SAP implementation and SAP services management with large global organisations with large SAP installations across multiple geographies.
Extensive experience either worked in the SAP AMS /  the SAP config and development track
ssential Functions of the Job
Looking for unique roles for the JD
1. SAP DP, 2. SAP SNP, SAP PPDS, SAP SNC
Extentive experience in one or more modules  : SCM solution – Demand Planning (APO DP), Distribution Requirements Planning and Manufacturing Planning (APO SNP and APO PP DS), Supplier Network Colloboration (SNC) influence skills to drive business solutions.
Must have deep understanding of APO and interdependency of different processes within APO
Extensive experience should be in End-to-end Implementation, Support, upgrade, optimization and various areas with implementation of Sub-modules like DP, SNP, CIF, PPDS, SNC, TLB and and  SAP APO-ECC integration</t>
  </si>
  <si>
    <t>At least 7 years’ experience with SAP implementation and SAP services management with large global organisations with large SAP installations across multiple geographies.
Extensive experience in delivering Agile, DevOps, Activate methology 
Extensive experience either in leading the SAP AMS /  leading the SAP config and development track
ssential Functions of the Job
Looking for unique roles for the JD
1. SAP DP, 2. SAP SNP, SAP PPDS, SAP SNC
Extentive experience in one or more modules  : SCM solution – Demand Planning (APO DP), Distribution Requirements Planning and Manufacturing Planning (APO SNP and APO PP DS), Supplier Network Colloboration (SNC) influence skills to drive business solutions.
Must have deep understanding of APO and interdependency of different processes within APO
Extensive experience should be in End-to-end Implementation, Support, upgrade, optimization and various areas with implementation of Sub-modules like DP, SNP, CIF, PPDS, SNC, TLB and and  SAP APO-ECC integration</t>
  </si>
  <si>
    <t>At least 10 years’ experience with SAP implementation and SAP services management with large global organisations with large SAP installations across multiple geographies.
Extensive experience in delivering Agile, DevOps, Activate methology 
Extensive experience either in leading the SAP AMS /  leading the SAP config and development track
ssential Functions of the Job
Looking for unique roles for the JD
1. SAP DP, 2. SAP SNP, SAP PPDS, SAP SNC
Extentive experience in one or more modules  : SCM solution – Demand Planning (APO DP), Distribution Requirements Planning and Manufacturing Planning (APO SNP and APO PP DS), Supplier Network Colloboration (SNC) influence skills to drive business solutions.
Must have deep understanding of APO and interdependency of different processes within APO
Extensive experience should be in End-to-end Implementation, Support, upgrade, optimization and various areas with implementation of Sub-modules like DP, SNP, CIF, PPDS, SNC, TLB and and  SAP APO-ECC integration</t>
  </si>
  <si>
    <t>Vistex (SD,LE) - Non TCS - Canada, Niche (ABAP, SD, FI)</t>
  </si>
  <si>
    <t>Experence of around 2-5 years with excellent communication skills
The candidate must have strong design and implementation knowledge of either SAP SD or MM mainly covering Pricing, OTC process / Purchasing process, Master data, Enterprise elements and SD / MM - Finance integration.
Experience in 1-2 full lifecycle software implementations and 1 AMS implementation experience
Collaborative and consultative work style
Ability to link business processes with products/solutions</t>
  </si>
  <si>
    <t>Independently take up and participate in Business workshops, Design End to End solutions  .
Experence of around 5+ years with excellent communication skills
Experience in managing large teams and customer facing rolls
Understand and work with different teams to provide solution roadmap to clients
The candidate must have strong design and implementation knowledge of either SAP SD or MM mainly covering Pricing, OTC process / Purchasing process, Master data, Enterprise elements and SD / MM - Finance integration.
Experience in 1-2 full lifecycle software implementations and 2 AMS implementation experience
Collaborative and consultative work style
Ability to link business processes with products/solutions</t>
  </si>
  <si>
    <t>Independently take up and participate in Business workshops, Design End to End solutions  .
Experence of around 7+ years with excellent communication skills
Experience in managing large teams and customer facing rolls
Understand and work with different teams to provide solution roadmap to clients
The candidate must have strong design and implementation knowledge of either SAP SD or MM mainly covering Pricing, OTC process / Purchasing process, Master data, Enterprise elements and SD / MM - Finance integration.
Experience in 1-2 full lifecycle software implementations and 2 AMS implementation experience
Collaborative and consultative work style
Ability to link business processes with products/solutions</t>
  </si>
  <si>
    <t>CPS</t>
  </si>
  <si>
    <t>Experience in
	Manage 2nd (regional) and support 3rd (global) level support
	Manage &amp; monitor Interfaces and Batch-Processes 	
	Support relevant unit and integration tests 
	Consult the internal customers in the optimization and harmonization of the business processes. 
	Configure a remote SAP system
	Connect SAP CPS to remote SAP systems
	Submit a Job or Job Chain
	Import your Jobs
	Create a sequential job chain with your imported SAP jobs
	Extend event-driven process automation.
	Implement business-driven schedules
	Maximize the degree of utilization of system resources
	Automate synchronous as well as asynchronous workload management
	Maximize workload routing and load balancing
	Monitor and manage present and future workload
	Reduce the number of human errors resulting from manually completed tasks
	Simple as well as complex process flows are executed faster
	Extend history, logging, and auditing of previously executed work
Expected skills set: 
	2-5 years of experience in SAP CPS - with SAP NetWeaver Release 7.02 
	Self-motivated team player
	Ability to work in the international and virtual environment</t>
  </si>
  <si>
    <t>Experience in
	Manage 2nd (regional) and support 3rd (global) level support
	Manage &amp; monitor Interfaces and Batch-Processes 	
	Support relevant unit and integration tests 
	Consult the internal customers in the optimization and harmonization of the business processes. 
	Configure a remote SAP system
	Connect SAP CPS to remote SAP systems
	Submit a Job or Job Chain
	Import your Jobs
	Create a sequential job chain with your imported SAP jobs
	Extend event-driven process automation.
	Implement business-driven schedules
	Maximize the degree of utilization of system resources
	Automate synchronous as well as asynchronous workload management
	Maximize workload routing and load balancing
	Monitor and manage present and future workload
	Reduce the number of human errors resulting from manually completed tasks
	Simple as well as complex process flows are executed faster
	Extend history, logging, and auditing of previously executed work
Expected skills set: 
	5+ years of experience in SAP CPS - with SAP NetWeaver Release 7.02 
	Self-motivated team player
	Ability to work in the international and virtual environment</t>
  </si>
  <si>
    <t>Experience in
	Manage 2nd (regional) and support 3rd (global) level support
	Manage &amp; monitor Interfaces and Batch-Processes 	
	Support relevant unit and integration tests 
	Consult the internal customers in the optimization and harmonization of the business processes. 
	Configure a remote SAP system
	Connect SAP CPS to remote SAP systems
	Submit a Job or Job Chain
	Import your Jobs
	Create a sequential job chain with your imported SAP jobs
	Extend event-driven process automation.
	Implement business-driven schedules
	Maximize the degree of utilization of system resources
	Automate synchronous as well as asynchronous workload management
	Maximize workload routing and load balancing
	Monitor and manage present and future workload
	Reduce the number of human errors resulting from manually completed tasks
	Simple as well as complex process flows are executed faster
	Extend history, logging, and auditing of previously executed work
Expected skills set: 
	7+ years of experience in SAP CPS - with SAP NetWeaver Release 7.02 
	Self-motivated team player
	Ability to work in the international and virtual environment</t>
  </si>
  <si>
    <t>PLM (MDG and ECC)</t>
  </si>
  <si>
    <t>2-5 years’ experience with SAP implementation and SAP services management, 1 implementation and 1 AMS experience
Experience in assessment and gap analysis of MDM projects, test and validate all releases and regression
Support business users with MDG data (customer, pricing, vendor, finance and accounting, APO, HR, workflow processes)
Manages the analysis and execution of new master data setup or data changes
Effectively coordinate with internal team, partners and Customer's data governanace COE to manage the day-to-day maintenance requirement
Experience in automate access control the business functions can see and act upon the data in accordance with their job function
Proactively seeks, analyses, adminsters and communicates actionable data to the customer around data management</t>
  </si>
  <si>
    <t>At least 5 years’ experience with SAP implementation and SAP services management with large global organisations with large SAP installations across multiple geographies.
Extensive experience in delivering Agile, DevOps, Activate methology 
Should have Delivery management experience of 8+ years in SAP implementation, Rollout, Managed Services for manufacturing/CPG domain
Lead the assessment and gap analysis of MDM projects, test and validate all releases and regression
Support business users with MDG data (customer, pricing, vendor, finance and accounting, APO, HR, workflow processes)
Manages the analysis and execution of new master data setup or data changes
Effectively coordinate with internal team, partners and Customer's data governanace COE to manage the day-to-day maintenance requirement
Automates access control the business functions can see and act upon the data in accordance with their job function
Proactively seeks, analyses, adminsters and communicates actionable data to the customer around data management</t>
  </si>
  <si>
    <t>At least 7 years’ experience with SAP implementation and SAP services management with large global organisations with large SAP installations across multiple geographies.
Have onsite delivery experience around 6+ yeaear preferably in APAC and Europe
Extensive experience in delivering Agile, DevOps, Activate methology 
Should have Delivery management experience of 15+ years in SAP implementation, Rollout, Managed Services for manufacturing/CPG domain
Lead the assessment and gap analysis of MDM projects, test and validate all releases and regression
Support business users with MDG data (customer, pricing, vendor, finance and accounting, APO, HR, workflow processes)
Manages the analysis and execution of new master data setup or data changes
Effectively coordinate with internal team, partners and Customer's data governanace COE to manage the day-to-day maintenance requirement
Automates access control the business functions can see and act upon the data in accordance with their job function
Proactively seeks, analyses, adminsters and communicates actionable data to the customer around data management</t>
  </si>
  <si>
    <t>SAP Consultant</t>
  </si>
  <si>
    <t>SAP PO/PI/CPI</t>
  </si>
  <si>
    <t>0-2 yrs  of experience in implement and deploy SAP Cloud Integration Suite solutions (CPI), SAP PO, SAP PI  to achieve defined business goals
Maintain skills in SAP applications process design and configuration
Work as part of small teams and/or work efforts (if in an individual contributor role) to deliver integration solutions to customers. 
Production Support of integration processes as needed
Technical configuration for domain areas
Escalation point for solution design or troubleshooting with outside service partners
Supporting and implementing technical integrations with a variety of global 3rd party applications.
Must be a team player to collaboratively and effectively deliver high quality work product and communicate with others on multi-disciplinary teams.
Responsible for troubleshooting technical problems.
Map the business process to SAP Technologies-CPI, BOOMI, SAP Fiori, SAP UI5,etc.</t>
  </si>
  <si>
    <t>2-5 yrs  of experience in Design, implement and deploy SAP Cloud Integration Suite solutions (CPI), SAP PO, SAP PI  to achieve defined business goals
Maintain skills in SAP applications process design and configuration
SAP application design, development, integration, testing, deployment and technical architecture
Work as part of small teams and/or work efforts (if in an individual contributor role) to deliver integration solutions to customers. 
Implement or deploy capabilities as required: End-to-End process design, testing strategy, cutover plans, training, etc.
Production Support of integration processes as needed
Technical configuration for domain areas
Escalation point for solution design or troubleshooting with outside service partners
Supporting and implementing technical integrations with a variety of global 3rd party applications.
Understand end-to-end Business Processes
Must be a team player to collaboratively and effectively deliver high quality work product and communicate with others on multi-disciplinary teams.
Responsible for successful end to end delivery.
Responsible for troubleshooting technical problems.
Map the business process to SAP Technologies-CPI, BOOMI, SAP Fiori, SAP UI5,etc.</t>
  </si>
  <si>
    <t>5-7 yrs  of experience in Design, implement and deploy SAP Cloud Integration Suite solutions (CPI), SAP PO, SAP PI  to achieve defined business goals
Maintain skills in SAP applications process design and configuration
SAP application design, development, integration, testing, deployment and technical architecture
Work as part of small teams and/or work efforts (if in an individual contributor role) to deliver integration solutions to customers. 
Implement or deploy capabilities as required: End-to-End process design, testing strategy, cutover plans, training, etc.
Production Support of integration processes as needed
Technical configuration for domain areas
Escalation point for solution design or troubleshooting with outside service partners
Supporting and implementing technical integrations with a variety of global 3rd party applications.
Understand end-to-end Business Processes
Must be a team player to collaboratively and effectively deliver high quality work product and communicate with others on multi-disciplinary teams.
Responsible for successful end to end delivery.
Responsible for troubleshooting technical problems.
Map the business process to SAP Technologies-CPI, BOOMI, SAP Fiori, SAP UI5,etc.</t>
  </si>
  <si>
    <t>7+ years of experince in SAP  integration including  SAP PO, PI and CPI
Analyze integration requirements, design and implement complex, state-of-the-art end-to-end integration scenarios across multiple technologies and multiple modules.
Define integration architectures and API strategies.
Interface design and implementation based on SAP Cloud Platform Integration Suite and SAP Process Orchestration.
Integration of cloud solutions and platforms (SAP, Salesforce, Azure, AWS), IoT services and external business partners.
Evaluate new SAP technologies and supporting building know-how in these areas, which are integrated into cbs processes.
Technical integration consulting and development as part of global SAP ECC, S/4HANA or C/4HANA implementation projects.
Be responsible for cbs projects and customers in the technology area as well as engage in pre-sales support in all kinds of SAP technology topics.
Act as a technical team lead for the requested deliverables which includes adhering to the timeline, effort and assuring quality.
Collaboration with the onsite team.
Coach colleagues in functional, technical, and methodic topics.
Sharing knowledge and experience with the colleagues.
Contribute to cbs best practices and methodologies.
Desire for a dynamic and prestigious work environment.</t>
  </si>
  <si>
    <t>10+ years of experince in SAP  integration including  SAP PO, PI and CPI
Analyze integration requirements, design and implement complex, state-of-the-art end-to-end integration scenarios across multiple technologies and multiple modules.
Define integration architectures and API strategies.
Interface design and implementation based on SAP Cloud Platform Integration Suite and SAP Process Orchestration.
Integration of cloud solutions and platforms (SAP, Salesforce, Azure, AWS), IoT services and external business partners.
Evaluate new SAP technologies and supporting building know-how in these areas, which are integrated into cbs processes.
Technical integration consulting and development as part of global SAP ECC, S/4HANA or C/4HANA implementation projects.
Be responsible for cbs projects and customers in the technology area as well as engage in pre-sales support in all kinds of SAP technology topics.
Act as a technical team lead for the requested deliverables which includes adhering to the timeline, effort and assuring quality.
Collaboration with the onsite team.
Coach colleagues in functional, technical, and methodic topics.
Sharing knowledge and experience with the colleagues.
Contribute to cbs best practices and methodologies.</t>
  </si>
  <si>
    <t>I5+</t>
  </si>
  <si>
    <t>15+ years of experince in SAP  integration including  SAP PO, PI and CPI
Analyze integration requirements, design and implement complex, state-of-the-art end-to-end integration scenarios across multiple technologies and multiple modules.
Define integration architectures and API strategies.
Interface design and implementation based on SAP Cloud Platform Integration Suite and SAP Process Orchestration.
Integration of cloud solutions and platforms (SAP, Salesforce, Azure, AWS), IoT services and external business partners.
Evaluate new SAP technologies and supporting building know-how in these areas, which are integrated into cbs processes.
Technical integration consulting and development as part of global SAP ECC, S/4HANA or C/4HANA implementation projects.
Be responsible for cbs projects and customers in the technology area as well as engage in pre-sales support in all kinds of SAP technology topics.
Act as a technical team lead for the requested deliverables which includes adhering to the timeline, effort and assuring quality.
Collaboration with the onsite team.
Coach colleagues in functional, technical, and methodic topics.
Sharing knowledge and experience with the colleagues.
Contribute to cbs best practices and methodologies.</t>
  </si>
  <si>
    <t>Mulesoft</t>
  </si>
  <si>
    <t xml:space="preserve">Required Skills:
Responsible for building integration solutions on the MuleSoft Anypoint Platform with design of specifications, design and development of APIs meeting, deployment, testing and Support.
0- 2 yrs of Experience required in Mulesoft Development.
Experience working directly with technical and business teams. Knowledge of SDLC, IT governance and operations.
Experience in packaging and deploying MuleSoft applications.
Experience working with CI/CD tools like GitHub, Maven, Azure DevOps etc.
Experience with messaging platforms Anypoint MQ,IBM MQ etc.
Experience working with Mule Connectors ( Standard &amp; Custom).
Bachelors degree required.
Good verbal and written communication skills are essential.
Strong critical thinking and problem-solving skills.
Experience working with overseas teams.
</t>
  </si>
  <si>
    <t xml:space="preserve">Required Skills:
Responsible for building integration solutions on the MuleSoft Anypoint Platform with design of specifications, design and development of APIs meeting, deployment, testing and Support.
2- 5 yrs of Experience required in Mulesoft Development.
Experience working directly with technical and business teams. Knowledge of SDLC, IT governance and operations.
Experience in packaging and deploying MuleSoft applications.
Experience working with CI/CD tools like GitHub, Maven, Azure DevOps etc.
Experience with messaging platforms Anypoint MQ,IBM MQ etc.
Experience working with Mule Connectors ( Standard &amp; Custom).
Bachelors degree required.
Good verbal and written communication skills are essential.
Strong critical thinking and problem-solving skills.
Experience working with overseas teams.
MuleSoft developer certified shall be preferred
</t>
  </si>
  <si>
    <t>5+ years of software development experience with extensive integration experience in  MuleSoft 
4+ years of development experience using MuleSoft suite of products - Any point Platform, Design Center, Connectors, Exchange, Runtime manager and API Management tools.
2+ years of  application development experience.
Strong technical knowledge and work experience in implementing integrations with Web services / SOAP / RESTful/gRPC/ Graphql / file based integration patterns and use of different Mule connectors (Any point MQ, Kafka, Azure Event Hub, File, Http/Https, Siebel, ServiceNow, SAP SuccessFactors, Salesforce, Oracle EBS Connector etc.)
Experience in developing Microservices architecture-based API, Event Driven and Batch style integration patterns
Experience in Java 1.8, Data Weave, JSON, Open API and RAML is required in a cloud or hybrid architecture platfor
Business process knowledge and work experience with ERP / Cloud systems within Sales, Marketing, Finance and CRM domains.
Experience with DevOps culture and CI/CD tools
Participate in proof-of-concept to demonstrate feasibility.
Experience of security models, encryption, routing, transformations, error handling, logging, and testing frameworks.
Working experience on Agile, Azure Devops and SDLC processes.
Good communication, analytical skills.</t>
  </si>
  <si>
    <t>7+ years of Overall experience and Experience in architecture, design and implementation of MuleSoft integration and integration experience along with Java based solutions (refer mandatory skills)
Candidate should have 4+ years of Architecture design and consulting skills
Extensive experience in API's / Web services / SOA development
Extensive experience with successful implementations of highly scalable and highly available systems
Experience with agile/DevOps development processes
Skills Required
Expertise in Mulesoft,
Expertise in Java, Web services, APIs, SOA and any RDBMS
Messaging - JMS APIs, ActiveMQ etc
Development tools (Maven, Ant, Jira, Eclipse)
Any source versioning control tools expertise
Good knowledge on OOPS concepts and design/integration patterns</t>
  </si>
  <si>
    <t xml:space="preserve">10+ years of experience as an Architect for developing API, ESB, Middleware tools based messaging or EDI or customer integration. Application developed involves communication with both .Net, Java, or Microservices based new or existing legacy platforms
Excellent knowledge and hands-on experience with multiple platforms and related technologies: MuleSoft, any Opensource ESB, .Net WebAPI, Java Messaging Service, Apache Kafka, IBM CP4I, Rabbit MQ.
Experience with common architectures like Hub-Spoke, Federated ESB, Open API, Queues, Streaming Architecture
Knowledge of common software engineering practices Requirements Engineering, Design Patterns, Code Analysis, Performance, DevOps (CI/CD) and architecture modelling practices (UML, Swagger, etc.)
Architect the solution for web and hybrid enterprise applications for several platforms (Mobile, Web, B2C/ B2B, Data systems)
Know the best practices and risks in terms of security.
Always keen to learn new things, share your knowledge, embrace change and learn from past experiences.
Integrate with other application developed in Cloud or on-premise
Collaborate with Product Team and Application team
Review code for well-designed components and testable code
Integrate software components into a fully functional software system
Troubleshoot, debug and upgrade existing integration
Comply with project plans
Comply to industry best practices and standards
Should possess excellent time management skills
</t>
  </si>
  <si>
    <t>Talend</t>
  </si>
  <si>
    <t>0-2 yrs of Talend developer experience , ETL development , RDBMS , SQL , TAC, TMC.
• Knowledge and hands-on experience with ETL development
• Hands on experience on implementing different loading strategies like SCD1
and SCD2, Table/ partition refresh, insert update, Swap Patriation using Talend.
• Experience in Consuming and writing data from and to Flat files, RDMBS
systems, MPPS, Jason and XML using Talend
• Experience on RDBMS systems and concepts
• Expertise in writing and complex SQL queries and developing Database
components including creating views, stored procedures, triggers etc.
• Create test cases and perform unit testing of ETL Jobs using Talend.
• Hands on experience on ETL jobs orchestration using Talend.
• Hands on experience on creating Triggers on TAC server for Scheduling the
Talend jobs
• Experience on creating batch level processing, parallel process using Talend.
• Analytical mind with a problem-solving and debugging skills.
• Excellent Communication Skills
• Awareness of Replication, Synchronization and Disaster Management
techniques
• Awareness of Data Quality Management</t>
  </si>
  <si>
    <t>2-5 yrs of Talend developer experience , ETL development , RDBMS , SQL , TAC, TMC.
• Knowledge and hands-on experience with ETL development
• Hands on experience on implementing different loading strategies like SCD1
and SCD2, Table/ partition refresh, insert update, Swap Patriation using Talend.
• Experience in Consuming and writing data from and to Flat files, RDMBS
systems, MPPS, Jason and XML using Talend
• Experience on RDBMS systems and concepts
• Expertise in writing and complex SQL queries and developing Database
components including creating views, stored procedures, triggers etc.
• Create test cases and perform unit testing of ETL Jobs using Talend.
• Hands on experience on ETL jobs orchestration using Talend.
• Hands on experience on creating Triggers on TAC server for Scheduling the
Talend jobs</t>
  </si>
  <si>
    <t>5-7 yrs of experience of ETL and ELT tool Talend
- Good knowledge of ETL scripting languages like custom DSL, Java or JavaScript
- Very good knowledge of JSON, XML and Transformations like XSLT
- Good experience with either Mysql or sql or oracle
- Good knowledge of Query Optimization
- Good knowledge like Python Pandas, Dask, NumPy etc.
- Exposure to Bit Data technologies and Analytics platforms like Hadoop, Spark, Shark, Impala, R, Weka etc.
- Good knowledge of integrating the ETL tool through triggers RESTful APIs, Workflow engines
- Superb interpersonal, communication, and collaboration skills.
- Great organizational and time management skills.
- Availability to resolve issues outside of business hours.</t>
  </si>
  <si>
    <t>Should have 7+ years of experience on multiple Talend products (DI, ESB) with having a good understanding of Talend roadmap.
Experience with performing key architecture and design in the area of Talend DI and ESB.
Experience with managing a community of practice (especially Talend) consisting of ETL developer responsible for data movement and transformation across various data assets in DaaS (Data-as-a-service) using multiple ETL tools including Talend, IBM DataStage, Informatica etc is strongly preferred.
Experience with establishing the roadmap for the ETL practice for DaaS and providing leadership with an on-going focus on reusability, scalability and innovation within the community of practice.
Prior experience with identifying and recommending opportunities to enhance productivity, effectiveness and operational efficiency of the business unit and/or team.
Experience with API/first architecture design, distributed systems (e.g., microservices, Virtualization) and cloud infrastructure for large scale data warehouse, data lakes, data fabric
Extensive hands-on experience with building tools/accelerators for migrating from one ETL tool to other including migrating to Snowflake etc.
Should be able to manage stakeholders at various levels independently and understand the client’s IT state and business. He / She should be able to build a team and guide team members towards quality delivery and focused up skilling.
Experience in solutioning / Architecting Talend project including infrastructure sizing etc
Should have worked in min 4-5 Talend + SQL projects
Good knowledge in Database and strong SQL knowledge
Should be able to transfer Business Requirement to Technical Document
Should be able to do Estimation of effort based on the requirement
Hands on experience Talend DI with database and file handling
Knowledge of SDLC / Agile methodologies and tools</t>
  </si>
  <si>
    <t>EDI</t>
  </si>
  <si>
    <t>Job Details:
Must Have:
• Installation and tuning of Sterling Integrator products suite.
• Maintaining stability and performance of the Sterling File Gateway, Sterling B2B Integrator, Sterling Control Center and Sterling Secure Proxy environments.
• Actively manage the performance of the EDI Sterling environment, including capacity planning and tuning.
• Support B2B communication and protocols including FTP, SFTP, HTTPS and AS2.
• Responsible for creating best practices for Sterling File Gateway, Sterling B2B Integrator with supporting documentation and standard operating procedures
Good to Have:
• Participating in remediation of EDI Sterling B2B incidents and events.
• Provide 24 x 7 on-call rotational support including troubleshooting and issue resolution.
• Work closely with other teams to remediate all EDI B2B issues, i.e. (server, network, MQ, database, etc.)</t>
  </si>
  <si>
    <t>Axway</t>
  </si>
  <si>
    <t>0-2 years of experience in Java/J2EE technology stack, including webservices with good understanding and knowledge of Java design patterns.
Must have expertise in Spring framework, Hibernate,
Must have expertise in APIs, API Management products like Axway (Preferred), Cisco XML Gateway, Software AG API Management, APIGEE, MULESOFT, WSO2 etc.
Experience with Axway API Gateway and Axway API Manager versions 7.x.
Configuration of end points policies and workflows
Good awareness and practical experience with configuring different authentication mechanisms (e.g. OAuth)
Hands on experience with RESTful Web Services
Experience in prod issues troubleshooting and analysis – e.g. using Gateway logging and monitoring capabilities</t>
  </si>
  <si>
    <t>2-5 years of experience in Java/J2EE technology stack, including webservices with good understanding and knowledge of Java design patterns.
Must have expertise in Spring framework, Hibernate,
Must have expertise in APIs, API Management products like Axway (Preferred), Cisco XML Gateway, Software AG API Management, APIGEE, MULESOFT, WSO2 etc.
Experience with Axway API Gateway and Axway API Manager versions 7.x.
Configuration of end points policies and workflows
Good awareness and practical experience with configuring different authentication mechanisms (e.g. OAuth)
Hands on experience with RESTful Web Services
Experience in prod issues troubleshooting and analysis – e.g. using Gateway logging and monitoring capabilities</t>
  </si>
  <si>
    <t>5-7 years of experience in Java/J2EE technology stack, including webservices with good understanding and knowledge of Java design patterns.
Must have expertise in Spring framework, Hibernate,
Must have expertise in APIs, API Management products like Axway (Preferred), Cisco XML Gateway, Software AG API Management, APIGEE, MULESOFT, WSO2 etc.
Experience with Axway API Gateway and Axway API Manager versions 7.x.
Configuration of end points policies and workflows
Good awareness and practical experience with configuring different authentication mechanisms (e.g. OAuth)
Hands on experience with RESTful Web Services
Experience in prod issues troubleshooting and analysis – e.g. using Gateway logging and monitoring capabilities</t>
  </si>
  <si>
    <t>7-10 years of experience in Java/J2EE technology stack, including webservices with good understanding and knowledge of Java design patterns.
Must have expertise in Spring framework, Hibernate,
Must have expertise in APIs, API Management products like Axway (Preferred), Cisco XML Gateway, Software AG API Management, APIGEE, MULESOFT, WSO2 etc.
Experience with Axway API Gateway and Axway API Manager versions 7.x.
Configuration of end points policies and workflows
Good awareness and practical experience with configuring different authentication mechanisms (e.g. OAuth)
Hands on experience with RESTful Web Services
Experience in prod issues troubleshooting and analysis – e.g. using Gateway logging and monitoring capabilities</t>
  </si>
  <si>
    <t>ADO</t>
  </si>
  <si>
    <t>Role : Azure DevOps Engineer
In-depth experience in E2E CICD platform establishment both on cloud Azure and On Prem, such as Continuous Integration, Continuous Delivery, Automated Quality Testing, Software Configuration Management, Security and Automated Environment provisioning.
• Should have 2 to 5 years of hands on experience in DevOps implementation.
• Must have scripting experience in Azure Devops pipeline creation with Yaml, JSON &amp; API.
• Knowledge in scripting language (BASH/ PowerShell/ ANT).
• Hands on experience in creating and managing Docker/Kubernetes based deployments.
• Experience in toolchain:
o	IaC: Ansible
o	Quality scan: HP Fortify scan, SonarQube scan
o	Monitoring: Azure Log Analytics, Scalyr, PowerBI
o	Devops: Azure Devops, ServiceNow
o	Transport: ActiveControl</t>
  </si>
  <si>
    <t>Role : Azure DevOps Engineer
In-depth experience in E2E CICD platform establishment both on cloud Azure and On Prem, such as Continuous Integration, Continuous Delivery, Automated Quality Testing, Software Configuration Management, Security and Automated Environment provisioning.
• Should have 5 to 7 years of hands on experience in DevOps implementation.
• Must have scripting experience in Azure Devops pipeline creation with Yaml, JSON &amp; API.
• Knowledge in scripting language (BASH/ PowerShell/ ANT).
• Hands on experience in creating and managing Docker/Kubernetes based deployments.
• Experience in toolchain:
•	IaC: Ansible
•	Quality scan: HP Fortify scan, SonarQube scan
•	Monitoring: Azure Log Analytics, Scalyr, PowerBI
•	Devops: Azure Devops, ServiceNow
•	Transport: ActiveControl</t>
  </si>
  <si>
    <t>Role : Azure DevOps Engineer
In-depth experience in E2E CICD platform establishment both on cloud Azure and On Prem, such as Continuous Integration, Continuous Delivery, Automated Quality Testing, Software Configuration Management, Security and Automated Environment provisioning.
• Should have 7 to 10 years of hands on experience in DevOps implementation.
• Must have scripting experience in Azure Devops pipeline creation with Yaml, JSON &amp; API.
• Knowledge in scripting language (BASH/ PowerShell/ ANT).
• Hands on experience in creating and managing Docker/Kubernetes based deployments.
• Experience in toolchain:
•	IaC: Ansible
•	Quality scan: HP Fortify scan, SonarQube scan
•	Monitoring: Azure Log Analytics, Scalyr, PowerBI
•	Devops: Azure Devops, ServiceNow
•	Transport: ActiveControl</t>
  </si>
  <si>
    <t>Scrum Master_SFDC</t>
  </si>
  <si>
    <t>Relevant Experience	2-5 Years in the Role- Agile Process, Scrum master
Overall Experience	5-7 Years - Agile management in all areas of SDLC
Experience Details	
•	Should have worked as Scrum Master or RTE or Product Owner for on at least two or more implementations for  SFDC projects
•	Expertise in Agile and Lean ways of working at project/ enterprise level. .
•	In depth knowledge of Scrum, Kanban and Scaling agile models.
•	Experience in training individuals and teams in agile principles and practices. .
•	Provide hands on coaching to 2-4 Agile teams simultaneously with in-depth guidance on agile roles, rituals, and artifacts.
•	Continuously measure and report the progress of teams and Business units in meeting their goals.
•	Agile Lifecycle Management tool expertise. Preferably with JIRA / Rally / AzureDevOps software.
•	Either possesses a background working directly in a technology role or can demonstrate the ability to understand the procedures and challenges of a variety of technology functions involved in the product development life cycle.
•	Flexible and resilient and willingness to take initiative to create approaches to complex problems.
•	Strong collaborative problem solver.
•	Exposure to XP engineering practices such as TDD, BDD, CI/ CD, Automation etc is a plus
•	Experience in tracking Agile metrics and also project metrics.
•	Ability to perform RCA and advise the project team on best measures
•	String knowledge on QAG process and respective metrics
•	Flexibly respond to shifting business needs and priorities.
Certifications( At least One)	
•	Scrum master
•	Safe Agilist
•	Project Management
•	Test Management
Certifications(At least One)	•	SFDC Admin</t>
  </si>
  <si>
    <t>Business Analyst</t>
  </si>
  <si>
    <t>Role	Business Analyst - Salesforce CRM
Relevant Experience	4-6 Years in the Role- At least 2+ full implementations in SFDC project
Overall Experience	5-7 Years – Covering all  areas of SDLC( Functional)
Experience Details	•	Collaborate with Business,   Partners, Architects and Tech Leads to elaborate on the requirements.
•	Build effective and productive key business stakeholder relationships (including BPO).
•	Early involvement in solution design and estimations.
•	Understands how the IT solution supports the Business Process End2End. Has process and IT landscape expertise in CRM applications
•	Analyze main business processes and requirements and translate into IT solutions.
•	Responsible to maximize the use and acceptance of standard/catalogue based solutions to support business needs driving industry best practices processes.
•	Responsible to maintain product backlog with user stories to cover development effort for the upcoming sprints.
•	Develop user stories/ wireframes (both functional and system operational requirements) and work with client on elaboration and ambiguity resolution.
•	Ongoing validation of deliverables against requirements.
•	Flexibly respond to shifting business needs and priorities.
•	Prior to UAT validates that solution meets business requirements.
•	Train key users and ensure availability of training and support materials.
•	Proven knowledge of business process and its KPI’s, including best practices to support the relevant business processes {Sales and Services processes}.
•	4-6 years of minimum implementation experience in cloud based CRM platforms like SFDC Sales Cloud is required.
•	Customer facing consulting, good stakeholder management skills are required.
•	Acts independently to determine methods and procedures on new or special assignments. May supervise the activities of others.
•	Prefer 5-7 years of IT experience, including Agile.
•	Exercises independent judgment in methods, techniques and evaluation criteria for obtaining results. Creates formal networks involving coordination among global work groups.
Certifications(At least one)	•	Scrum master
•	Safe Agilist
•	Project Management
•	Test Management
•	Business Analyst
SFDC-Certifications (At least One)	•	SFDC BA
•	SFDC Admin
•	SFDC ( Sales/Service/MKT)</t>
  </si>
  <si>
    <t>Role	Business Analyst - Salesforce MKT/Service
Relevant Experience	4-6 Years in the Role- At least 2+ full implementations in SFDC project
Overall Experience	5-7 Years – Covering all areas of SDLC( Functional)
Experience Details	
•	Experience in Force.com Platform, Service Cloud and Marketing Cloud.
•	Experience in implementing Marketing cloud Email Studio, Mobile Studio and Integration with Salesforce.
•	Having Experience in integrating salesforce with external application using third party tools via SOAP and REST API Integration.
•	Familiar with all the governance limitations across editions of salesforce.com.
•	Experience in Enterprise projects (both Onshore and Offshore) with co-ordination between teams geographically.
•	Experience in Salesforce Marketing Cloud Implementation and Enhancements life cycle.
•	Follow standard coding practices, keeping custom code organized, readable, maintainable, and documented.
•	Collaborate with Business,   Partners, Architects and Tech Leads to elaborate on the requirements.
•	Build effective and productive key business stakeholder relationships (including BPO).
•	Early involvement in solution design and estimations.
•	Understands how the IT solution supports the Business Process End2End. Has process and IT landscape expertise in MKT/Service Cloud applications
•	Analyze main business processes and requirements and translate into IT solutions.
•	Responsible to maximize the use and acceptance of standard/catalogue based solutions to support business needs driving industry best practices processes.
•	Responsible to maintain product backlog with user stories to cover development effort for the upcoming sprints.
•	Develop user stories/ wireframes (both functional and system operational requirements) and work with client on elaboration and ambiguity resolution.
•	Ongoing validation of deliverables against requirements.
•	Flexibly respond to shifting business needs and priorities.
•	Prior to UAT validates that solution meets business requirements.
•	Train key users and ensure availability of training and support materials.
•	Proven knowledge of business process and its KPI’s, including best practices to support the relevant business processes {Sales and Services processes}.
•	4-6 years of minimum implementation experience  in MKT and Service cloud
•	Customer facing consulting, good stakeholder management skills are required.
•	Acts independently to determine methods and procedures on new or special assignments. May supervise the activities of others.
•	Prefer 5-7 years of IT experience, including Agile.
•	Exercises independent judgment in methods, techniques and evaluation criteria for obtaining results. Creates formal networks involving coordination among global work groups.
Certifications(At least one)	•	Scrum master
•	Safe Agilist
•	Project Management
•	Test Management
•	Business Analyst
SFDC-Certifications (At least One)	•	SFDC BA
•	SFDC Admin
•	SFDC ( Sales/Service/MKT)</t>
  </si>
  <si>
    <t>Service Delivery Manager</t>
  </si>
  <si>
    <t>Role	Service Delivery Managers- SFDC
Relevant Experience	8-10 Years in the Role- At least 4+ projects experience as a Service Manager for SFDC
Overall Experience	10-12 Years – Covering all areas of SDLC ( In Support project Roles)
Experience Details	•	Experience in managing 24x7 work model of IT Application Support with legacy and digital apps and other IT Programs to deliver within Schedule, Cost &amp; Quality with 50+member team ..
•	Well versed with ITIL processes and able to design and implement a service life cycle. 
•	Well versed with quality audits and metrics related to service delivery
•	Responsible for Service Delivery with consistent high level quality, on time and within budget.
Proven good track record: leadership and interpersonal skills with High level commitments to deliver end to end customer driven solutions
•	Expectational customer-facing skills, expertise in people management and ability to lead large diverse teams.
•	Good experience in driving Process Improvement initiative leveraging latest technologies.
•	Proficiency handling portfolio growth initiatives and experience around working on proposals.
•	Good Experience in Customer Interaction and Managing stakeholders and submit periodic project status reports to confirm project progress to the customer.
•	Proficiency in Support operations handling, Problem Management, Resource Management and Risk Management.
•	In-depth knowledge of escalation procedures, incident management, and other disciplines related to service delivery
•	Experience in project level activities of handling PMR, Audits and budget handling.
•	Retail domain experience is good to have
•	Good understanding of Project, Program and Financial management
•	Coach and Mentor the Project Managers
•	Readiness to demonstrate proactive mind set
•	Excellent verbal and written communication skills
SFDC-Certifications (At least two)	•	ITIL Foundation /experienced
•	SFDC-Admin
•	PMP or equivalent
•	Scrum Master/Equivalent
•	Service management ( any certificate course)</t>
  </si>
  <si>
    <t>Service Manager</t>
  </si>
  <si>
    <t>Role	Service Managers- SFDC
Relevant Experience	6-8 Years in the Role- At least 2+ projects experience as a Service Manager for SFDC
Overall Experience	8-10 Years – Covering all areas of SDLC( technical)
Experience Details	•	Experience in managing 24x7 work model of IT Application Support with legacy and digital apps and other IT Programs to deliver within Schedule, Cost &amp; Quality with 10+member team .
•	Well versed with ITIL processes and able to design and implement a service life cycle. 
•	Well versed with quality audits and metrics related to service delivery
•	Responsible for Service management  with consistent high level quality
•	Expectational customer-facing skills, expertise in people management and ability to lead large diverse teams.
•	Good experience in driving Process Improvement initiative leveraging latest technologies.
•	Good Experience in Customer Interaction and Managing stakeholders and submit periodic project status reports to confirm project progress to the customer.
•	Proficiency in Support operations handling, Problem Management, Resource Management and Risk Management.
•	In-depth knowledge of escalation procedures, incident management, and other disciplines related to service delivery
•	Experience in project level activities of handling PMR, Audits and budget handling.
•	Retail domain experience is good to have
•	Good understanding of Project, Program and Financial management
•	Coach and Mentor the Project leads
•	Readiness to demonstrate proactive mind set
•	Excellent verbal and written communication skills
SFDC-Certifications (At least two)	•	ITIL Foundation 
•	SFDC-Admin
•	PMP or equivalent
•	Scrum Master/Equivalent
•	Service management (any certificate course)</t>
  </si>
  <si>
    <t>SF CRM</t>
  </si>
  <si>
    <t>Role	Salesforce Developer - CRM
Experience Details	•	Experience in implementing Lightning Aura and Web Components, Apex Controllers, Visual Force Pages, Visual Force Components, Batch Apex, Schedulers and Apex Triggers.
•	Experience in Web Scripting Language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Release Management with multiple phases.
•	Production Deployment Best Practices
•	Min 4+ Years of Salesforce  hands on Experience as developer
SFDC-Certifications (At least two)	•	SFDC ( Service/Marketing)
•	SFDC ( PD1/PD2)
•	SFDC Admin
•	SFDC App developer</t>
  </si>
  <si>
    <t>Role	Salesforce Developer - CRM
Relevant Experience	4-6 Years in the Role- At least 1+ full implementations in SFDC project as Developer
Overall Experience	5-7 Years – Covering all areas of SDLC( technical)
Experience Details	•	Experience in implementing Lightning Aura and Web Components, Apex Controllers, Visual Force Pages, Visual Force Components, Batch Apex, Schedulers and Apex Triggers.
•	Experience in Web Scripting Language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Release Management with multiple phases.
•	Production Deployment Best Practices
•	Min 4+ Years of Salesforce  hands on Experience as developer
SFDC-Certifications (At least two)	•	SFDC ( Service/Marketing)
•	SFDC ( PD1/PD2)
•	SFDC Admin
•	SFDC App developer</t>
  </si>
  <si>
    <t>Role	Salesforce Tech Lead/Architect - CRM
Relevant Experience	5-7 Years in the Role- At least 2+ full implementations in SFDC project as a lead/architect
Overall Experience	7-10 Years – Covering all areas of SDLC( technical)
Experience Details	•	Salesforce Certified: Certified Service Cloud/Sales Cloud Consultant, System/Application Architect
•	Enterprise Solution and Architecture Design on Salesforce Platform
•	Experience on ISV and OEM Packages on Salesforce
•	Multi-Country Roll-out experience with expertise in full RM life cycle
•	Experience in Multiple Salesforce.com Products such as Salesforce Platform and CRM application.
•	Experience with Design and build - clean, high performing (i.e., user-oriented, fast, efficient, extensible, scalable) Salesforce and Salesforce-integrated applications following best practices and using the latest technologies.
•	Experience in implementing Lightning Components, Apex Controllers, Visual Force Pages, Visual Force Components, Batch Apex, Schedulers and Apex Triggers.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Salesforce Implementation and Enhancements life cycle with multiple geographies.
•	Experience in Release Management with multiple phases.
•	Production Deployment Best Practices.
•	10Years of  hands on experience is  mandatory
Certifications(At least one)	•	Scrum master
•	Project Management
•	Business Analyst
SFDC-Certifications (At least two)	•	SFDC ( Service/Marketing/Sales)
•	SFDC ( PD1/PD2)
•	SFDC App developer
•	SFDC Architect</t>
  </si>
  <si>
    <t>SF SVC</t>
  </si>
  <si>
    <t>Role	Salesforce Developer – Service Cloud
Experience Details	•	Experience in implementing Lightning Aura and Web Components, Apex Controllers, Visual Force Pages, Visual Force Components, Batch Apex, Schedulers and Apex Triggers.
•	Experience in Web Scripting Language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Release Management with multiple phases.
•	Production Deployment Best Practices
•	Min 4+ Years of Salesforce  hands on Experience as developer in Service Cloud application
SFDC-Certifications (At least two)	•	SFDC ( Service Cloud)
•	SFDC ( PD1/PD2)
•	SFDC Admin
•	SFDC App developer</t>
  </si>
  <si>
    <t>Role	Salesforce Developer – Service Cloud
Relevant Experience	4-6 Years in the Role- At least 1+ full implementations in SFDC project as Developer in Service Cloud Project
Overall Experience	5-7 Years – Covering all areas of SDLC( technical)
Experience Details	•	Experience in implementing Lightning Aura and Web Components, Apex Controllers, Visual Force Pages, Visual Force Components, Batch Apex, Schedulers and Apex Triggers.
•	Experience in Web Scripting Language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Release Management with multiple phases.
•	Production Deployment Best Practices
•	Min 4+ Years of Salesforce  hands on Experience as developer in Service Cloud application
SFDC-Certifications (At least two)	•	SFDC ( Service Cloud)
•	SFDC ( PD1/PD2)
•	SFDC Admin
•	SFDC App developer</t>
  </si>
  <si>
    <t>Role	Salesforce Tech Lead/Architect - MKT/Service
Relevant Experience	5-7 Years in the Role- At least 2+ full implementations in SFDC project as a lead/architect
Overall Experience	7-10 Years – Covering all areas of SDLC( technical)
Experience Details	•	Experience in Force.com Platform, Service Cloud and Marketing Cloud.
•	Experience in implementing Marketing cloud Email Studio, Mobile Studio and Integration with Salesforce.
•	Having Experience in integrating salesforce with external application using third party tools via SOAP and REST API Integration.
•	Familiar with all the governance limitations across editions of salesforce.com.
•	Experience in Enterprise projects (both Onshore and Offshore) with co-ordination between teams geographically.
•	Experience in Salesforce Marketing Cloud Implementation and Enhancements life cycle.
•	Follow standard coding practices, keeping custom code organized, readable, maintainable, and documented.
•	Salesforce Certified: Certified Service Cloud/SMKT Cloud Consultant, System/Application Architect
•	Enterprise Solution and Architecture Design on Salesforce Platform
•	Experience on ISV and OEM Packages on Salesforce
•	Multi-Country Roll-out experience with expertise in full RM life cycle
•	Experience in Multiple Salesforce.com Products such as Salesforce Platform and CRM application.
•	Experience with Design and build - clean, high performing (i.e., user-oriented, fast, efficient, extensible, scalable) Salesforce and Salesforce-integrated applications following best practices and using the latest technologies.
•	Experience in implementing Lightning Components, Apex Controllers, Visual Force Pages, Visual Force Components, Batch Apex, Schedulers and Apex Triggers.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Salesforce Implementation and Enhancements life cycle with multiple geographies.
•	Experience in Release Management with multiple phases.
•	Production Deployment Best Practices.
•	10Years of  hands on experience is  mandatory
Certifications(At least one)	•	Scrum master
•	Project Management
•	Business Analyst
SFDC-Certifications (At least two)	•	SFDC ( Service/Marketing)
•	SFDC ( PD1/PD2)
•	SFDC App developer
•	SFDC Architect</t>
  </si>
  <si>
    <t>SF MKT</t>
  </si>
  <si>
    <t>Role	Salesforce Developer – MKT Cloud
Experience Details	•	Experience in implementing Marketing cloud Email Studio, Mobile Studio and Integration with Salesforce.
•	Having Experience in integrating salesforce with external application using third party tools via SOAP and REST API Integration.
•	Familiar with all the governance limitations across editions of salesforce.com.
•	Experience in Enterprise projects (both Onshore and Offshore) with co-ordination between teams geographically.
•	Experience in Salesforce Marketing Cloud Implementation and Enhancements life cycle.
•	Follow standard coding practices, keeping custom code organized, readable, maintainable, and documented.
•	Experience in implementing Lightning Aura and Web Components, Apex Controllers, Visual Force Pages, Visual Force Components, Batch Apex, Schedulers and Apex Triggers.
•	Experience in Web Scripting Language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Release Management with multiple phases.
•	Production Deployment Best Practices
•	Min 4+ Years of Salesforce  hands on Experience as developer in MKT  Cloud application
SFDC-Certifications (At least two)	•	SFDC ( MKT Cloud)
•	SFDC ( PD1/PD2)
•	SFDC Admin
•	SFDC App developer</t>
  </si>
  <si>
    <t>Role	Salesforce Developer – MKT Cloud
Relevant Experience	4-6 Years in the Role- At least 1+ full implementations in SFDC project as Developer in MKT cloud Project
Overall Experience	5-7 Years – Covering all areas of SDLC( technical)
Experience Details	•	Experience in implementing Marketing cloud Email Studio, Mobile Studio and Integration with Salesforce.
•	Having Experience in integrating salesforce with external application using third party tools via SOAP and REST API Integration.
•	Familiar with all the governance limitations across editions of salesforce.com.
•	Experience in Enterprise projects (both Onshore and Offshore) with co-ordination between teams geographically.
•	Experience in Salesforce Marketing Cloud Implementation and Enhancements life cycle.
•	Follow standard coding practices, keeping custom code organized, readable, maintainable, and documented.
•	Experience in implementing Lightning Aura and Web Components, Apex Controllers, Visual Force Pages, Visual Force Components, Batch Apex, Schedulers and Apex Triggers.
•	Experience in Web Scripting Language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Release Management with multiple phases.
•	Production Deployment Best Practices
•	Min 4+ Years of Salesforce  hands on Experience as developer in MKT  Cloud application
SFDC-Certifications (At least two)	•	SFDC ( MKT Cloud)
•	SFDC ( PD1/PD2)
•	SFDC Admin
•	SFDC App developer</t>
  </si>
  <si>
    <t>DevOps Engineer</t>
  </si>
  <si>
    <t>Role	DevOps Engineer - Salesforce
Relevant Experience	4-6 Years in the Role- At least 1+ full implementations in SFDC project as Devops engineer
Overall Experience	5-7 Years – Covering all areas of SDLC( technical)
Experience Details	•	Extensive experience in SFDC Administration with sound experience in automation
•	Working Experience with application deployment on Salesforce components using Flosum Tool
•	Should have good understanding of Flosum and the flow required for Salesforce deployment
•	Should have hands-on experience and performed a live Salesforce deployment through Flosum end-to-end setup
•	Need sound knowledge on Flosum pipeline management, Flosum Branching Strategy, Flosum Basics etc.
•	Working experience in scripting for deployment/sandbox maintenance
•	Experience in Customizing existing pipelines and integrations/scripts for deployment
•	Exposure on DevOps tools like Jenkins, Git, Bitbucket, Puppet, Ansible etc
•	Certification on Flosum will be added advantage (Flosum Certified Professional)
•	Experience in Release Management with multiple phases.
•	Production Deployment Best Practices
•	Min 4+ Years of Salesforce  hands on Experience as Devops Engineer for SFDC
SFDC-Certifications (At least two)	•	SFDC ( PD1/PD2)
•	SFDC Admin
•	Flosum</t>
  </si>
  <si>
    <t>Dell Boomi</t>
  </si>
  <si>
    <t xml:space="preserve">- Total IT experience of more than 5-7 Years with at least 3 years on Dell Boomi.
- Hands-on-experience in delivering solutions related to enterprise integration, APIs, service-oriented architecture, and technology modernizations using Dell Boomi
- Own the Boomi integration development process from requirements gathering to full implementation
- Experience in using Dell Boomi and implement full integration projects involving on premise and Cloud applications.
- Monitor, troubleshoot, and resolve problems with Boomi integrations
- Collaborate with development team to architect efficient and stable production integrations
- Establish strong business partnerships through direct involvement in solution consulting, technical design and business engagements
- Experience with orchestration and configuration management tools
- Experience with multi-process solutions (microservicesDocker) and related design patterns
- Document and analyze current business processes and underlying systemsapplications
- Communicate and collaborate effectively with technical peers and business users
- Experience with REST and SOAP web services
- Review code developed by others and provide feedback
- Maintain and document all service contracts and promote optimal level of communications.
- Define and delivering integrated solutions by applying proven delivery methodologies including Agile and Model-Driven techniques.
- Daily interact with team to make sure tasks on track.
- Highlights challenges and roadblocks in management calls.
- Boomi  certification is preferred
</t>
  </si>
  <si>
    <t xml:space="preserve">- Total IT experience of more than 7-10 Years with at least 4 years on Dell Boomi.
- Hands-on-experience in delivering solutions related to enterprise integration, APIs, service-oriented architecture, and technology modernizations using Dell Boomi
- Own the Boomi integration development process from requirements gathering to full implementation
- Experience in using Dell Boomi and implement full integration projects involving on premise and Cloud applications.
- Monitor, troubleshoot, and resolve problems with Boomi integrations
- Collaborate with development team to architect efficient and stable production integrations
- Establish strong business partnerships through direct involvement in solution consulting, technical design and business engagements
- Experience with orchestration and configuration management tools
- Experience with multi-process solutions (microservicesDocker) and related design patterns
- Document and analyze current business processes and underlying systemsapplications
- Communicate and collaborate effectively with technical peers and business users
- Experience with REST and SOAP web services
- Review code developed by others and provide feedback
- Maintain and document all service contracts and promote optimal level of communications.
- Define and delivering integrated solutions by applying proven delivery methodologies including Agile and Model-Driven techniques.
- Daily interact with team to make sure tasks on track.
- Highlights challenges and roadblocks in management calls.
- Boomi  certification is preferred
</t>
  </si>
  <si>
    <t>Labware</t>
  </si>
  <si>
    <t>Labware LIMS Support: 
Labware Professional with a total of 3-8 years of experience. 
Experience in tobacco/pharma/life sciences domain with experience in Labware LIMS. 
Understanding of Labware and its architecture. 
Knowledge of Database, Crystal Reports, NuGenesis SDMS and other Instrument Interface systems. 
Experience in providing application support for multiple sites round the globe. 
Engage with the business users to understand the issue occurred during day to day sample processing. 
Understand the work flows of business process and suggest improvements as required 
Experience working on GxP systems 
Knowledge in CSV, Quality &amp; Compliance (Q&amp;C) is desirable 
Technical Skills: 
Mandatory: Labware Experience 
Database, Crystal Report, Waters Nugenesis SDMS, Empower CDS is desirable</t>
  </si>
  <si>
    <t>Docusign</t>
  </si>
  <si>
    <t>JD : Strong experience in Docusign
Working knowledge on Docusi Api's
A mix of development and administration skills in Docusgin will get preference.
Strong in Java,Javascript
Basic knowledge on scripting
Excellent troubleshooting skills
Code Review, Best Practices and architectural governance
Develop script for Docusign
Good Experience on working on L3 Support and able to handle customer queries
Good Interpersonal skills
Good Communication Skills talking to stakeholders, clarifying requirements, articulating design options.
DocuSign API Authentication process
basic exp / knowledge of DocuSign eSignature API
should be able to manage docusign envelope with esignature api with one supported technology java, .net etc
a) Query an Envelope
b) Modify an Envelope Lifecycle
c) Modify an Envelope Configuration or Contents
The Candidate should have strong development experience with docusign supported technology</t>
  </si>
  <si>
    <t>SAP Fieldglass</t>
  </si>
  <si>
    <t>Responsibilities:
•	Perform Fieldglass system configuration, craft, and execute test plans, administer application, and provide tier 3 support
•	Responsible for identifying system enhancements, preparing documentation, testing instance enhancements, and implementing them in Production
•	Perform functional and analytical/ data-driven analysis of specific business areas and develop technology alternatives and recommendations
•	Research, evaluate, test, and support a third-party cloud (SaaS) application supporting source to pay process
•	Develops, deploys, and maintains new packages (high- and low-level test strategy, test case and test script design, development and maintenance, test execution plans and test data development, management, and maintenance.)
•	Set up, manage, and troubleshoot integrations working with internal and external partner teams
•	Detailed assessment of functionalities in each module of the application
•	Hands-on experience with an emphasis on cloud-based software implementation or integration
Required Skills:
•	Hands-on experience in Procurement Operations or applications such as Ariba, Coupa, Fieldglass, iProcurement, SAP SRM etc.
•	2-5 years of work experience in a systems analysis role
•	Ability to manage tasks independently and take ownership of responsibilities
•	Ability to learn from mistakes and apply constructive feedback to improve performance
•	Ability to communicate highly complex technical information clearly and articulately for all levels and audiences
•	Critical thinking skills to evaluate alternatives and present solutions
•	Good communication skills</t>
  </si>
  <si>
    <t>Responsibilities:
•	Perform Fieldglass system configuration, craft, and execute test plans, administer application, and provide tier 3 support
•	Responsible for identifying system enhancements, preparing documentation, testing instance enhancements, and implementing them in Production
•	Perform functional and analytical/ data-driven analysis of specific business areas and develop technology alternatives and recommendations
•	Research, evaluate, test, and support a third-party cloud (SaaS) application supporting source to pay process
•	Develops, deploys, and maintains new packages (high- and low-level test strategy, test case and test script design, development and maintenance, test execution plans and test data development, management, and maintenance.)
•	Set up, manage, and troubleshoot integrations working with internal and external partner teams
•	Detailed assessment of functionalities in each module of the application
•	Hands-on experience with an emphasis on cloud-based software implementation or integration
Required Skills:
•	Hands-on experience in Procurement Operations or applications such as Ariba, Coupa, Fieldglass, iProcurement, SAP SRM etc.
•	5-7 years of work experience in a systems analysis role
•	Ability to manage tasks independently and take ownership of responsibilities
•	Ability to learn from mistakes and apply constructive feedback to improve performance
•	Ability to communicate highly complex technical information clearly and articulately for all levels and audiences
•	Critical thinking skills to evaluate alternatives and present solutions
•	Good communication skills</t>
  </si>
  <si>
    <t>SAP Concur</t>
  </si>
  <si>
    <t>Required Skills:
In-depth knowledge in SAP Concur Expense implementation, advance configuration &amp; support.
Knowledge of SAP Concur Integration especially SAP ICS.
Knowledge of Cognos Reporting tool.
Knowledge of SAP Concur Travel, Request is a plus.
Candidate  worked on at least one end to end implementation. is a plus 
Candidate must have Application Maintenance Support experience 
Excellent communication and presentation skills.
Good Analysis and troubleshooting skills.
Roles &amp; Responsibilities
5+ years of SAP Concur experience with the ability to lead end-to-end implementation, configuration, testing &amp; support project.
Gather functional and business requirements from the client and translate into a functional hosted solution design according to client needs and scope of Concur products/services.
Design, build, configure &amp; test applications to meet business process and application requirements.
Ensure completion of deliverables, managing schedules, meeting milestones, and ensuring creative /technical success.
Knowledge and experience with the Concur T&amp;E system including Integration points work experience on various middleware’s, especially associated with Concur solution. 
Manage Design / Development Session with the client in understanding the technical functionalities 
Responsible for Technical Scope, determine integrations, Design, Develop Interfaces Lead client IT through Integration Arc.
Provide Hyper Care support post-go-live &amp; resolve issues within defined SLA.
Experience in report building using Cognos Reporting tool
Good to have experience in Concur Travel, Request, Concur Detect, Invoice Configuration &amp; Concur listed App’s
With a strong technical/Functional background, be able to build and unit test per the business process requirements
Experience in Development of Test Plans</t>
  </si>
  <si>
    <t>Integration Service Delivery Manager</t>
  </si>
  <si>
    <t>Cloud DM-Onsite/KL</t>
  </si>
  <si>
    <t>12-20 years</t>
  </si>
  <si>
    <r>
      <rPr>
        <b/>
        <sz val="11"/>
        <color theme="1"/>
        <rFont val="Calibri"/>
        <family val="2"/>
        <scheme val="minor"/>
      </rPr>
      <t>Service Delivery Manager-Cloud Services</t>
    </r>
    <r>
      <rPr>
        <sz val="11"/>
        <color theme="1"/>
        <rFont val="Calibri"/>
        <family val="2"/>
        <scheme val="minor"/>
      </rPr>
      <t xml:space="preserve">
ITC is looking for the Program Manager/Service Delivery Manager to manage a portfolio of customer migration assessments/Managed services for Cloud platforms with 12-20 years of experience across a range of levels from different backgrounds and with various skills and expertise. In this role who can work with Customers, Delivery team, and Cloud Partners to deliver data-backed assessments to customers for migrating their current on-premises workloads to the Cloud. We are seeking the one who can demonstrate the below skills or those who are keen to gain them: 
</t>
    </r>
    <r>
      <rPr>
        <b/>
        <sz val="11"/>
        <color theme="1"/>
        <rFont val="Calibri"/>
        <family val="2"/>
        <scheme val="minor"/>
      </rPr>
      <t xml:space="preserve">Certifications </t>
    </r>
    <r>
      <rPr>
        <sz val="11"/>
        <color theme="1"/>
        <rFont val="Calibri"/>
        <family val="2"/>
        <scheme val="minor"/>
      </rPr>
      <t xml:space="preserve">
Any competitive Cloud Practitioner or Associate Solution Architecture Certification 
Professional certification on Project/Program Management is highly desirable 
Azure or AWS Administration or Architect level certification would be added advantage 
</t>
    </r>
    <r>
      <rPr>
        <b/>
        <sz val="11"/>
        <color theme="1"/>
        <rFont val="Calibri"/>
        <family val="2"/>
        <scheme val="minor"/>
      </rPr>
      <t xml:space="preserve">Roles and Responsibilities </t>
    </r>
    <r>
      <rPr>
        <sz val="11"/>
        <color theme="1"/>
        <rFont val="Calibri"/>
        <family val="2"/>
        <scheme val="minor"/>
      </rPr>
      <t xml:space="preserve">
Program Manager should have good experience in managing large AWS/Azure implementation migration programs and running managed service delivery. 
The Program Manager serves a key upfront role on these assessments by ensuring that customers are choosing the correct tools and programs throughout the planning and execution of their migration, as well as serving as a contact person to reduce friction and roadblocks throughout the customer’s migration journey and running efficient service delivery. 
Gather requirements from customers regarding desired outcomes of the assessment to ensure the appropriate tools and teams are included. 
Ensure that an assessment is running smoothly and on time, following up to offer extra assistance when required. 
Dealing with stakeholders, plan, organize, schedule, control, and monitor projects to ensure timely completion, cost effectiveness, and customer satisfaction. 
Proactively identifies potential delivery issues and drives resolution to avoid customer impact. 
Always look for area of opportunity for automation adoption and optimize resource efforts, efficiency and drive ROI 
Identifies scope changes from the original plan or agreement and escalates to the management team. 
Setting up the team and mentoring them Works directly with technical team and ensure project success and managing the team. 
Develop, maintain, and manage relationships with client executives and engagement sponsors and provides complex metrics and reporting support to all relevant stakeholders. 
Knowledge working closely with ServiceNow/Jira or any other project management software. 
Excellent oral and written communications skills as necessary to communicate, negotiate, advice, or resolve issues that are highly complex including the ability to communicate technical information to nontechnical users effectively. 
Manage the intake process for all new Migration assessments. 
Position and propose the inclusion of partners for an assessment, when applicable. 
Provide high-level demonstrations &amp; overviews of migration tools to outline options to internal and external customers. 
Provide a single point of escalation for teams needing Migration assistance, or for high profile assessments. 
Should be well versed with building confidence, trust and grabbing more business opportunities</t>
    </r>
  </si>
  <si>
    <t>Azure Architect-Onsite/KL</t>
  </si>
  <si>
    <t>10-15 Years</t>
  </si>
  <si>
    <t xml:space="preserve">ITC is looking for Cloud Solution Architects with 10-15 years of experience across a range of levels from different backgrounds and with various skills and expertise. Understanding that there are many paths to acquiring the skills needed to be a successful Cloud Solution Architect, we are seeking the one who can demonstrate the below skills or those who are keen to gain them: 
Certifications 
Azure Certified Solutions Architect Associate 
Azure Certified Solutions Architect Professional 
Roles and Responsibilities 
Participate in technical discussion, provide consultative services to customer, guide the team based on requirements for delivery, Provide Azure technical design and thought leadership. 
Must have experience with designing and deploying solutions in Azure at enterprise scale, with good automation skills, Understand the customers business &amp; application requirements and translate them into system / technical requirements. 
Experience with private public cloud architectures, pros/cons, and migration considerations, implementation features (OS, multi-tenancy, virtualization, orchestration, elastic scalability 
Extensive hands-on experience implementing infra migration, data migration and data processing using Azure services: Networking, Windows/Linux virtual machines, Container, Storage, ELB, Autoscaling, Azure Functions, Serverless Architecture, ARM Templates, Azure SQL DB/DW, Data Factory, Azure Stream Analytics, Azure Analysis Service - Must have experience in Azure IaaS and Azure active directory 
Proven experience assessing client’s workloads and technology landscape for Cloud suitability, develop business case and Cloud adoption roadmap 
Experience in working RFP's Proposals, Solutions, defining new architectures and ability to drive project from architecture standpoint 
Knowledge of best practices and market trends pertaining to Cloud and overall industry to provide thought leadership (seminars, whitepapers etc.,) and mentor team to build necessary competency. 
Ability to quickly establish credibility and trustworthiness with key stakeholders in client organization. 
Well versed with third party DevOps such as Jenkins, Bitbucket, docker repository, terraform, and ansible, Azure Security policy, Azure DevOps, AKS, Azure WAF, networking and ingress controller, good knowledge of working with Kafka, Datadog is added advantage 
Ensure success in designing, building, and migrating applications, software, and services on the Azure platform. end-to-end architecture, networking, provisioning, and management 
Educate customers on best practices to ensure their solutions are designed for successful deployment in the cloud. 
Demonstrate leadership ability to back decisions with research and the "why," and articulate several options, the pros and cons for each, and a recommendation. 
Understand the data requirements, source data landscape of the project and architect the solution with required solution components. 
Hands-on experience in designing cost-efficient, fault-tolerant, and scalable distributed systems on Azure. Understand the data processing requirements like batch computing, stream computing needs and design the solution on Azure stack </t>
  </si>
  <si>
    <t>AWS Architect-Onsite/Mexico</t>
  </si>
  <si>
    <t xml:space="preserve">TC Infotech is looking for 10-15 years of experienced and highly motivated architects who possess technical depth and strong interpersonal skills. As an AWS solution architect, you will lead technical workshops, advise customers on architectural and strategic IT decisions and design highly scalable, flexible and resilient cloud architectures that address customer business challenges. As a trusted customer advocate, the solutions architect will help organizations understand best practices around advanced AWS cloud-based solutions. 
Certification requirements: 
AWS Certified Solutions Architect Associate 
AWS Certified Solutions Architect Professional 
Roles and Responsibilities 
Understand technical, business &amp; application requirements from client discussions, RFP's and Translate them into system / technical requirements and build Proposals, Solutions, Cloud suitability, develop business case and Cloud adoption roadmap 
Good Exp in driving and running cloud managed services for larger workloads with multi cloud platforms &amp; Multi vendor involvment and driving cloud optimization and efficiency 
Lead technical workshops and advise customers on architectural and strategic IT decisions, end-to-end architecture, networking, provisioning, and management 
Develop AWS technical design, thought leadership, architecture blueprints and detailed documentation. Create bill of materials, including required Cloud Services (such as EC2, S3 etc.) and tools. Proven knowledge of AWS platform and tools  
Design, Setup and oversee the overall AWS Virtual Private Cloud VPC environment including server instance, storage instances, subnets, availability zones, network architecture and HA / DR strategies etc. 
Ensure success in designing, building and migrating applications, software, and services on the AWS platform. Define Migration strategy to move application to cloud 
Educate customers on best practices to ensure their solutions are designed for successful deployment in the cloud. 
Demonstrate knowledge of cloud architecture and implementation features (OS, multi-tenancy, virtualization, orchestration, elastic scalability) 
Demonstrate leadership ability to back decisions with research and the "why," and articulate several options, the pros and cons for each, and a recommendation. 
Hands-on experience in designing cost-efficient, fault-tolerant and scalable distributed systems on AWS.  
Understand the data processing requirements like batch computing, stream computing needs and design the solution on AWS stack. 
Experience in defining new architectures and ability to drive project from architecture standpoint, continuously focus on project delivery excellence and customer satisfaction 
Knowledge of best practices and market trends pertaining to Cloud and overall industry to provide thought leadership (seminars, whitepapers etc.,) and mentor team to build necessary competency.
Ability to quickly establish credibility and trustworthiness with key stakeholders in client organization. 
Finalizing and preparing the templates of design documents, data flows, mapping documents, implementation, and maintenance plans. Set up process, services and tools around the cloud. 
Produce design documents for effectively hand over infrastructure architectures to Operations teams for successful systems engineering and implementation. </t>
  </si>
  <si>
    <t xml:space="preserve">Azure SME/Technical Lead </t>
  </si>
  <si>
    <t>6-12 Years</t>
  </si>
  <si>
    <t xml:space="preserve">Azure SME/Technical Lead 
ITC is looking for Cloud SME/Technical Lead with 6-12 years of experience across a range of levels from different backgrounds and with various skills and expertise. Understanding that there are many paths to acquiring the skills needed to be a successful Cloud Architect, we are seeking the one who can demonstrate the below skills or those who are keen to gain them: 
Certifications: - 
Microsoft Azure AZ-104 required 
Microsoft AZ-305 is a plus 
Other Clouds like AWS and VMWare exp would be good to have 
Roles and Responsibilities: - 
At least 6 -12 years of experience with troubleshooting, managing and monitoring Azure workloads and services 
Good knowledge of Azure IaaS (VMs, VNET, NSG Rules, VPN Gateways and Express Route). 
Creating, deploying, configuring and scaling applications on Windows/Linux Azure PaaS 
Experience with Azure Policy development via ARM or Terraform. 
Extensive hands-on experience implementing infra migration, data migration and data processing using Azure services: Networking, Windows/Linux virtual machines, Container, Storage, LB, Autoscaling, Azure Functions, Serverless Architecture, ARM Templates, Azure SQL DB/DW, Data Factory, Azure Stream Analytics, Azure Analysis  
Proven experience within client facing roles with ability to work creatively in a problem-solving environment 
Hands on experience on Azure App Service Model (Web Apps, Mobile Apps, API Apps and Web Jobs). 
Hands on experience on Azure storage services like SQL DB, Tables, Files, Blobs and Azure API Management Service. 
Experience on cloud automation, Infrastructure as Code, ARM and Terraform. 
Good understanding of windows server (2008/12/16) administration, DNS, DHCP and User profiles 
Good to have Experience of executing cloud native projects in Azure with DevOps using VSTS along with Microsoft as well as Open-Source Tools. 
Good understanding on MS CAF and well architected framework 
Good to have Azure virtual Desktop or VDI exp. 
Hands on experience on Azure Integration services like Service Bus and Event Hubs. 
Must have experience with designing and deploying solutions in Azure at enterprise scale, with good automation skills, Understand the customers business &amp; application requirements and translate them into system / technical requirements. 
Experience with private public cloud architectures, pros/cons, and migration considerations, implementation features (OS, multi-tenancy, virtualization, orchestration, elastic scalability 
Ability to quickly establish credibility and trustworthiness with key stakeholders in client organization. 
Hands-on experience in designing cost-efficient, fault-tolerant, and scalable distributed systems on Azure.  </t>
  </si>
  <si>
    <t>AWS SME</t>
  </si>
  <si>
    <t xml:space="preserve">AWS SME / Consultant 
ITC Infotech is looking for AWS consultant with 6-10 years of experience in implementing cloud platforms as per solution. You will work with clients to understand the requirements and provide required support to AWS cloud platform and suggest required changes as per industry standard and implement improvements in the client environments and provide support. If you thrive in a dynamic, collaborative workplace, ITC provides an environment where you will be challenged and inspired every single day. And if you relish the freedom to bring creative, thoughtful solutions to the table, there’s no limit to what you can accomplish here. 
Certifications: AWS Certified Solutions Architect Associate. 
Roles and Responsibilities 
Experience with architecting, designing, and implementing AWS/Multi-cloud services 
Strong architecture &amp; design experience of Deploying Enterprise applications on AWS, monitoring and performance tuning of deployed applications on AWS 
Expertise in developing competencies and references through proofs-of-concept 
Expertise in running managed services for large customers with multi cloud/vendor platforms, Infra capacity sizing, costing of AWS services to drive optimized solution architecture, leading to optimal infra investment vs performance and scale 
Expertise in articulating architectural choices within various AWS services and solution methodologies 
In-depth knowledge of AWS components like S3, EC2, VPC/Networking, Redshift, RDS, EMR, No SQL databases, DynamoDB 
Study existing technology landscape and understand current application workloads 
Understand and document technical requirements from clients, exp in building solutions &amp; RFP's 
Develop AWS technical design, thought leadership, architecture blueprints and detailed documentation. Create bill of materials, including required Cloud Services (such as EC2, S3 etc.) and tools. Proven knowledge of AWS platform and tools  
Design, Setup and oversee the overall AWS Virtual Private Cloud VPC environment including server instance, storage instances, subnets, availability zones, network architecture including VPN connectivity between regions and subnets and HA / DR strategies etc. 
Define Migration strategy to move application to cloud 
Set up process, services and tools around cloud, execute migration plan 
Leverage appropriate AWS services 
Validate the environment to meets all security and compliance control 
Should have extremely good business acumen and growth mindset </t>
  </si>
  <si>
    <t>Cloud Monitoring Team</t>
  </si>
  <si>
    <t>1-3 years</t>
  </si>
  <si>
    <t xml:space="preserve">Minimum of 1+ years of relevant experience in Azure or AWS cloud monitoring,responsible for monitoring &amp; administering various Cloud platform. 
Good experience in working with Azure or AWS server, patching tools, troubleshooting as well as configuration.
Work in collaboration with IT Management to ensure operational security, maintenance and governance being followed.
Responsibilities 
Responsible for working in a mixed Windows and Linux Cloud &amp; S/W environment. 
Minimum of 1+ years of relevant experience in enterprise level cloud Subcription/account monitoring, administration, troubleshooting issues and P1&amp;P2 incident management. 
Ready to adopt new technologies and flexible to work in 24*7 shift. 
Must have fair technical knowledge of virtual machines IaaS (understanding Code (PaaS) and Software as a Service (SaaS). 
fair in Azure Iaas and PaaS technologies and services Installed, Configured, troubleshooting of Azure Compute instances, Azure Backup, Azure Site Recovery, Azure Storage Monitor, Snapshot, Azure Storage, VNet, Load Balancers and RBAC and Azure Active directory knowledge 
Good knowledge and experience in Azure/AWS monitoring, Log Analytics monitoring alerts and taking them to resolution. 
work with next level for any Implemention, deploy and configure Azure/AWS VMs, Storage, Network &amp; Connectivity and NSGs/ASG’s 
good understanding of ITSM tools like ServiceNow, service management, incident, SR, CR etc. with proactivly monitoring queue and take appropriate action as needed 
good communication and situation/propblem handeling things
</t>
  </si>
  <si>
    <t>Cloud (Azure &amp; AWS) Admin</t>
  </si>
  <si>
    <t>3-5 years</t>
  </si>
  <si>
    <t xml:space="preserve">Minimum of 3+ years of relevant experience in Azure other cloud Technical Specialist responsible for managing &amp; administering various Cloud based computing solutions. 
Good experience in working with Azure, server, patching tools, troubleshooting as well as configuration.
Work in collaboration with IT Management to ensure operational security, maintenance and governance. 
Responsibilities 
Responsible for working in a mixed Windows and Linux Cloud &amp; S/W environment. 
Minimum of 3+ years of relevant experience in enterprise level cloud account administration, troubleshooting issues and P1&amp;P2 incident management. 
Ready to adopt new technologies and flexible to work in 24*7 shift. 
Must have strong technical knowledge of virtual machines IaaS (understanding Code (PaaS) and Software as a Service (SaaS). 
Proficiency in Azure Iaas and PaaS technologies and services Installed, Configured, troubleshooting of Azure Compute instances, Azure Backup, Azure Site Recovery, Azure Storage Monitor, Snapshot, Azure Storage, VNet, Load Balancers and RBAC and Azure Active directory knowledge 
Good knowledge and experience in Azure* AWS, Monitoring, OMS, Log Analytics monitoring alerts and taking them to resolution. 
Implement, deploy and configure Azure &amp; AWS VMs, Storage, Network &amp; Connectivity and NSGs/ASG’s   
Manage hosting plans for Azure&amp; AWS  Infrastructure with good understanding of on premises to cloud connectivity through express route, P2S and site to site. 
Good in deploying managing/troubleshooting Application Gateway, load balancer issue with external firewall knowledge like Palo Alto and Barracuda 
Good in implementing &amp; deploying workloads on Azure virtual machines (VMs), Azure Data Factory, Azure data bricks and APIM   
Implement storage related to blobs, Azure files, SQL &amp; recovery services and managing the storage access   
Good to have exp in windows PowerShell scripting and Azure automation   
Build VMs in Azure using Azure 7 AWS Portal or any other methods   
</t>
  </si>
  <si>
    <t>Azure SME</t>
  </si>
  <si>
    <t>4-8 years</t>
  </si>
  <si>
    <t xml:space="preserve">Minimum of 4+ years of relevant experience in Azure other cloud Technical Specialist responsible for managing &amp; administering various Cloud based computing solutions. 
Good experience in working with Azure, server, patching tools, troubleshooting as well as configuration.
Work in collaboration with IT Management to ensure operational security, maintenance and governance. 
Responsibilities 
Responsible for working in a mixed Windows and Linux Cloud &amp; S/W environment. 
Minimum of 4+ years of relevant experience in enterprise level cloud account administration, troubleshooting issues and P1&amp;P2 incident management. 
Ready to adopt new technologies and flexible to work in 24*7 shift. 
Must have strong technical knowledge of virtual machines IaaS (understanding Code (PaaS) and Software as a Service (SaaS). 
Proficiency in Azure Iaas and PaaS technologies and services Installed, Configured, troubleshooting of Azure Compute instances, Azure Backup, Azure Site Recovery, Azure Storage Monitor, Snapshot, Azure Storage, VNet, Load Balancers and RBAC and Azure Active directory knowledge 
Good knowledge and experience in Azure OMS, Log Analytics monitoring alerts and taking them to resolution. 
Implement, deploy and configure Azure VMs, Storage, Network &amp; Connectivity and NSGs/ASG’s   
Manage hosting plans for Azure Infrastructure with good understanding of on premises to cloud connectivity through express route, P2S and site to site. 
Excellent in deploying managing/troubleshooting Application Gateway, load balancer issue with external firewall knowledge like Palo Alto and Barracuda 
Excellent in implementing &amp; deploying workloads on Azure virtual machines (VMs), Azure Data Factory, Azure data bricks and APIM   
Implement storage related to blobs, Azure files, SQL &amp; recovery services and managing the storage access   
Good knowledge in windows PowerShell scripting and Azure automation   
Build VMs in Azure using Azure Resource Manager (ARM) Templates    
EMS/OMS experience would be added advantage 
Work directly with customers to create complete solution and resolve complex support incidents related the Azure billing platform and subscription management through various support offerings. 
Practical problem solving and trouble shooting skills.  </t>
  </si>
  <si>
    <t>Azure Admin</t>
  </si>
  <si>
    <t>DevOps &amp; Automation SME</t>
  </si>
  <si>
    <t xml:space="preserve">Azure DevOps &amp; Automation – IaC - Terraform Engineer 
ITC is looking for 6-10 years’ experience Azure DevOps, Automation IaC engineer with various skills and expertise such as design, develop, document, test, and debug new and existing configuration management (Terraform/Biceps) infrastructure as code. Experience with Jenkins, Terraform and GIT as source control. Provide top level support to the dev/ops team and integrate with existing infrastructure. 
 Certification: Terraform Associate Certification and Azure DevOps Expert 
Roles &amp; Responsibilities 
Infrastructure as Code (IaC) Engineer will provide design and engineering expertise to project team and its members to plan, analyze, design, test, and deploy infrastructure expressed as code. 
Well versed with Azure DevOps, Pipelines/release/ Build/deployment with complete Azure DevOps Governance controls and management 
Work alongside team to develop robust, secure and end-to-end designs for business solutions. 
Lead and/or participate in designing, developing and testing IaC solutions for IaaS and PaaS solutions for on-prem, Public and Private Cloud platforms 
Well versed with Terraform, Ansible, Jenkins or any other IaC and DevOps tools and Technologies. 
Well versed with Public Cloud Technologies and heavy automation domain knowledge and is experience with systems like Terraform, Vault, Ansible, and Kubernetes. 
Support IAC operations and integrating IaC with Dev-Ops pipeline 
Provide consultations to ensure that technical and operational requirements are achievable and being satisfied with the proposed technologies. 
Identify and automate process and procedures for on premise and cloud solutions (VMware, Azure, AWS) 
Contribute towards network/system security, risk, and operational impact 
Monitoring progress of the project and ensuring that it is completed on time 
Advising and suggesting future IT developments/trends to managers and/or clients. 
Remain current on IT trends pertaining to their area of practice (e.g., Agile, DevOps, Cloud, Microservices, containers) 
Preparing documentation for the Project and for the Business users (using standard/non-standard templates) that includes but not limited to Installation, Configuration Guides, Design solutions, Process document for Operational support, Architecture diagrams and SOPs </t>
  </si>
  <si>
    <t>Cloud Security SME (WAF/Antimalware/Vulnerability)</t>
  </si>
  <si>
    <t>5-8 Years</t>
  </si>
  <si>
    <t xml:space="preserve">ITC Infotech is looking for 5-8 years of experience in Cloud Security domain, responsible for strategic technical development, Including cloud security automation capabilities in AWS and Azure. The successful candidate will have strong problem-solving, time management and analytical skills. As part of the ITC Cybersecurity team, a curiosity to learn combined with a builder-attitude will be critical in our mission to address evolving threats and protect company information and resources. 
Roles and Responsibilities 
Design, build and implement enterprise cyber technology for production environments 
Align technical risk management standards, frameworks and policy with overall business and digital requirements. 
Hands-on experience working with services and tools such as Azure Security Center, Defender, Sentinel, Firewall, NAT, IPSEC VPNs, TCP/IP, gateways etc. 
AWS security tool IAM, SecurityHub, GuardDuty, Inspector CloudTrail, CloudWatch, Shield, WAF, KMS, Lambda, CloudWatch, PagerDuty, Slack, CloudCustodian. 
Drive efforts with program application leads and stakeholders to architect Cloud solutions using tools and services aligned to standards and secure design patterns. 
Design and implement automated security controls to proactively enforce Security, Risk and Compliance standards for applications. 
Develop libraries of common secure patterns for deploying cloud infrastructure and applications, including applications provided by Infrastructure as a Service providers 
Define and develop preventive guardrails, detective controls, and automated alerts and remediation to ensure that secure implementation in all AWS and Azure cloud environments are compliant with cloud security standards and policies. 
Leverage scripting, automation, and configuration management tools to secure adoption of AWS environments used by the organization. 
Provide mechanism to demonstrate consistent application of controls and configurations, including creation of real-time tool providing across cloud accounts. 
Engineer secure technology solutions that promote adoption of SecDevOps and Cloud services (IaaS, PaaS &amp; SaaS). 
Understand current and evolving threats for Cloud, including mitigation tools and techniques. 
Research, recommend and implement controls for developing technology such as container orchestration, machine learning and serverless technologies. 
Apply native cloud service provider security and monitoring services in the cloud, including network access controls, encryption, alerting and secrets management. 
Identify security design gaps in existing and proposed architectures and recommend and deploy changes and enhancements. 
Understand current and research new and upcoming cloud technologies with respect to security 
Analyze current systems’ security stance, propose solutions to any existing deficiencies 
Work with cloud engineers to validate the security stance of new solutions 
Work in a cross-functional DevOps team as the security expert 
Assist with monitoring of security logs including web application firewalls etc. 
Create and implement ongoing security review plans for cloud solutions 
Continuously monitor networking configuration ensuring minimal attack surface 
Work with database and cloud engineering teams in disaster recovery testing 
Manage mock intrusion scenarios and create action plan documentation 
Monitor vulnerability mailing list/databases and alert application teams 
Assist with security audits, interface with customers/partners on security reviews </t>
  </si>
  <si>
    <t>7-12 Years</t>
  </si>
  <si>
    <t xml:space="preserve">ITC Infotech is looking for 7-12 years of experience in Cloud Security domain, responsible for strategic technical development, Including cloud security automation capabilities in AWS and Azure. The successful candidate will have strong problem-solving, time management and analytical skills. As part of the ITC Cybersecurity team, a curiosity to learn combined with a builder-attitude will be critical in our mission to address evolving threats and protect company information and resources. 
Roles and Responsibilities 
Design, build and implement enterprise cyber technology for production environments 
Align technical risk management standards, frameworks and policy with overall business and digital requirements. 
Hands-on experience working with services and tools such as Azure Security Center, Defender, Sentinel, Firewall, NAT, IPSEC VPNs, TCP/IP, gateways etc. 
AWS security tool IAM, SecurityHub, GuardDuty, Inspector CloudTrail, CloudWatch, Shield, WAF, KMS, Lambda, CloudWatch, PagerDuty, Slack, CloudCustodian. 
Drive efforts with program application leads and stakeholders to architect Cloud solutions using tools and services aligned to standards and secure design patterns. 
Design and implement automated security controls to proactively enforce Security, Risk and Compliance standards for applications. 
Develop libraries of common secure patterns for deploying cloud infrastructure and applications, including applications provided by Infrastructure as a Service providers 
Define and develop preventive guardrails, detective controls, and automated alerts and remediation to ensure that secure implementation in all AWS and Azure cloud environments are compliant with cloud security standards and policies. 
Leverage scripting, automation, and configuration management tools to secure adoption of AWS environments used by the organization. 
Provide mechanism to demonstrate consistent application of controls and configurations, including creation of real-time tool providing across cloud accounts. 
Engineer secure technology solutions that promote adoption of SecDevOps and Cloud services (IaaS, PaaS &amp; SaaS). 
Understand current and evolving threats for Cloud, including mitigation tools and techniques. 
Research, recommend and implement controls for developing technology such as container orchestration, machine learning and serverless technologies. 
Apply native cloud service provider security and monitoring services in the cloud, including network access controls, encryption, alerting and secrets management. 
Identify security design gaps in existing and proposed architectures and recommend and deploy changes and enhancements. 
Understand current and research new and upcoming cloud technologies with respect to security 
Analyze current systems’ security stance, propose solutions to any existing deficiencies 
Work with cloud engineers to validate the security stance of new solutions 
Work in a cross-functional DevOps team as the security expert 
Assist with monitoring of security logs including web application firewalls etc. 
Create and implement ongoing security review plans for cloud solutions 
Continuously monitor networking configuration ensuring minimal attack surface 
Work with database and cloud engineering teams in disaster recovery testing 
Manage mock intrusion scenarios and create action plan documentation 
Monitor vulnerability mailing list/databases and alert application teams 
Assist with security audits, interface with customers/partners on security reviews </t>
  </si>
  <si>
    <t>Cloud Security SME (Certificate &amp; PKI)</t>
  </si>
  <si>
    <t>Job Responsibilities:
Operate PKI services for roots, CAs and certificates throughout their lifecycle
Deploy, initiate, and manage PKI hardware and supporting assets
Support business continuity and disaster recovery exercises
Perform technical analysis and security engineering activities
Document, maintain, and train others on PKI standards and procedures
Automate processes using scripting and other methods to support PKI services
Support secure facility maintenance activities
Required Qualifications:
3+ years of experience in software development lifecycle, large-scale computing, modeling, cyber security, anomaly detection, Security Operations Center (SOC) detection, threat analytics, security incident and event management (SIEM), information technology (IT), and operations incident response OR Bachelor's Degree in Statistics, Mathematics, Computer Science or related field.
2+ years PKI (Public Key Infrastructure) experience.
2+ years of scripting and/or software development.
Relocation to support on premise work with coworkers in secure datacenters require.
Some after-hours support and business travel required.
Preferred Qualifications
Experience operating Hardware Security Modules (HSMs)
Experience managing certificates throughout their lifecycle
Technical proficiency troubleshooting computer network infrastructure
Strong troubleshooting and problem resolution skills
Experience with WebTrust certification audits
Experience with physical security standards (e.g. ICS-705TS, NIST)
US government security clearance
One or more industry certifications is a plus (CISSP, CEH, nCSE. MCSE, MCSA)</t>
  </si>
  <si>
    <t>AWS Admin</t>
  </si>
  <si>
    <t>4-8 Years</t>
  </si>
  <si>
    <t>AWS other cloud Technical Specialist responsible for managing &amp; administering various Cloud based computing solutions.
Good experience in working with AWS, IaC (Terraform &amp; CloudFormation), OS Administration, patching, troubleshooting as well as configuration.
Work in collaboration with IT Management to ensure operational security, maintenance and governance.
Responsibilities
Responsible for working in a mixed Windows and Linux Cloud &amp; S/W environment.
Minimum of 4+ years of relevant experience in enterprise level cloud account administration, troubleshooting issues and P1&amp;P2 incident management.
Ready to adopt new technologies and flexible to work in 24*7 shift.
Must have strong technical knowledge of virtual machines IaaS (understanding Code (PaaS) and Software as a Service (SaaS).
In-depth knowledge of AWS components like S3, EC2, IAM, VPC, Redshift, RDS, EMR, No SQL databases, DynamoDB, CloudWatch, AWS Backup &amp; Storage solution, AWS KMS, AWS Certificate Manager, AWS WAF, Vulnerability Management, Patch management, Intrusion Detection Systems (IDS), Anti-malware solution, DDOS protection solution, Creation of LZ, Account Factory, AWS Organization, Cost Optimization, Cloud Monitoring Solutions, Cloud Proxy solutions, Route 53, AWS VPN, AWS Direct Connect, AWS Lambda, Active Directory.
Good knowledge and experience in CloudWatch &amp; other monitoring tools and their alerts and taking them to resolution.
Implement, deploy, and configure various AWS Services.
Good understanding of on premises to cloud connectivity through Direct Connect and AWS VPN
Excellent in deploying managing/troubleshooting API Gateway, load balancer issue with external firewall knowledge like Palo Alto and Barracuda.
Excellent in implementing &amp; deploying workloads on AWS.
Implement storage related to AWS S3, EBS, EFS, Storage Gateway, Backup &amp; recovery services and managing the storage access with encryption.
Good knowledge in scripting languages and Python.
Hands-on experience of IaC tools like Terraform and CloudFormation to write templates for creating resources.
Good Understanding in DevOps and CI/CD integration with cloud infra.
Candidate must understand and find the cloud cost optimization opportunities.</t>
  </si>
  <si>
    <t>AWS SME-Onsite/Mexico</t>
  </si>
  <si>
    <t xml:space="preserve">AWS SME / Consultant - Onsite- Mexico
ITC Infotech is looking for AWS consultant with 6-10 years of experience in implementing cloud platforms as per solution. You will work with clients to understand the requirements and provide required support to AWS cloud platform and suggest required changes as per industry standard and implement improvements in the client environments and provide support. If you thrive in a dynamic, collaborative workplace, ITC provides an environment where you will be challenged and inspired every single day. And if you relish the freedom to bring creative, thoughtful solutions to the table, there’s no limit to what you can accomplish here. 
Certifications: AWS Certified Solutions Architect Associate. 
Roles and Responsibilities 
Experience with architecting, designing, and implementing AWS/Multi-cloud services 
Strong architecture &amp; design experience of Deploying Enterprise applications on AWS, monitoring and performance tuning of deployed applications on AWS 
Expertise in developing competencies and references through proofs-of-concept 
Expertise in running managed services for large customers with multi cloud/vendor platforms, Infra capacity sizing, costing of AWS services to drive optimized solution architecture, leading to optimal infra investment vs performance and scale 
Expertise in articulating architectural choices within various AWS services and solution methodologies 
In-depth knowledge of AWS components like S3, EC2, VPC/Networking, Redshift, RDS, EMR, No SQL databases, DynamoDB 
Study existing technology landscape and understand current application workloads 
Understand and document technical requirements from clients, exp in building solutions &amp; RFP's 
Develop AWS technical design, thought leadership, architecture blueprints and detailed documentation. Create bill of materials, including required Cloud Services (such as EC2, S3 etc.) and tools. Proven knowledge of AWS platform and tools  
Design, Setup and oversee the overall AWS Virtual Private Cloud VPC environment including server instance, storage instances, subnets, availability zones, network architecture including VPN connectivity between regions and subnets and HA / DR strategies etc. 
Define Migration strategy to move application to cloud 
Set up process, services and tools around cloud, execute migration plan 
Leverage appropriate AWS services 
Validate the environment to meets all security and compliance control 
Should have extremely good business acumen and growth mindset </t>
  </si>
  <si>
    <t>AWS Architect-Onsite/USA</t>
  </si>
  <si>
    <t>ITC Infotech is looking for 10-15 years of experienced and highly motivated architects who possess technical depth and strong interpersonal skills. As an AWS solution architect, you will lead technical workshops, advise customers on architectural and strategic IT decisions and design highly scalable, flexible and resilient cloud architectures that address customer business challenges. As a trusted customer advocate, the solutions architect will help organizations understand best practices around advanced AWS cloud-based solutions.
Certification requirements:
AWS Certified Solutions Architect Associate
AWS Certified Solutions Architect Professional
Roles and Responsibilities
Understand technical, business &amp; application requirements from client discussions, RFP's and Translate them into system / technical requirements and build Proposals, Solutions, Cloud suitability, develop business case and Cloud adoption roadmap
Lead technical workshops and advise customers on architectural and strategic IT decisions, end-to-end architecture, networking, provisioning, and management
Responsible for Product Evaluation, Perform POC / Pilot of such identified technology products / solutions / platforms and provide management insights to aid decision process.
Develop AWS technical design, thought leadership, architecture blueprints and detailed documentation. Create bill of materials, including required Cloud Services (such as AWS LZ, AWS Organization, Account Factory, VPC, etc.) and tools. 
Proven knowledge of AWS platform and tools.
Such issues can require re-engineering , recapitalization of working with product technology vendors and/or Introduction of different technology products.
Design, Setup and oversee the overall AWS Virtual Private Cloud VPC environment including server instance, storage instances, subnets, availability zones, network architecture and HA / DR strategies etc.
Ensure success in designing, building and migrating applications, software, and services on the AWS platform. Define Migration strategy to move application to cloud
Educate customers on best practices to ensure their solutions are designed for successful deployment in the cloud.
CI/CD (Continuous Integration/Continuous Delivery)
Validate performance of new architecture, current architecture, prototype, characterize and test new technology stack.
Outstanding troubleshooting skills with the ability to learn new technologies in complex distributed systems.
Must have a natural drive to transition manual steps into automation.
Participate in architecture and design reviews as per the requirements which require complex technical solutions.
Must have expertise in technical aspects of the project to be able to provide guidance, identify risks, and assess the technology infrastructure of the solution.Demonstrate knowledge of cloud architecture and implementation features (OS, multi-tenancy, virtualization, orchestration, elastic scalability)</t>
  </si>
  <si>
    <t>Project Manager</t>
  </si>
  <si>
    <t xml:space="preserve">
ITC is looking for the Program Manager to manage a portfolio of customer migration assessments/Managed services for Cloud platforms with 10-15 years of experience across a range of levels from different backgrounds and with various skills and expertise. In this role who can work with Customers, Delivery team, and Cloud Partners to deliver data-backed assessments to customers for migrating their current on-premises workloads to the Cloud. We are seeking the one who can demonstrate the below skills or those who are keen to gain them: 
Certifications 
Any competitive Cloud Practitioner or Associate Solution Architecture Certification 
Professional certification on Project/Program Management is highly desirable 
Azure or AWS Administration or Architect level certification would be added advantage 
Roles and Responsibilities 
Program Manager should have good experience in managing large AWS/Azure implementation migration programs and running managed service delivery. 
The Program Manager serves a key upfront role on these assessments by ensuring that customers are choosing the correct tools and programs throughout the planning and execution of their migration, as well as serving as a contact person to reduce friction and roadblocks throughout the customer’s migration journey and running efficient service delivery. 
Gather requirements from customers regarding desired outcomes of the assessment to ensure the appropriate tools and teams are included. 
Ensure that an assessment is running smoothly and on time, following up to offer extra assistance when required. 
Dealing with stakeholders, plan, organize, schedule, control, and monitor projects to ensure timely completion, cost effectiveness, and customer satisfaction. 
Proactively identifies potential delivery issues and drives resolution to avoid customer impact. 
Always look for area of opportunity for automation adoption and optimize resource efforts, efficiency and drive ROI 
Identifies scope changes from the original plan or agreement and escalates to the management team. 
Setting up the team and mentoring them Works directly with technical team and ensure project success and managing the team. 
Develop, maintain, and manage relationships with client executives and engagement sponsors and provides complex metrics and reporting support to all relevant stakeholders. 
Knowledge working closely with ServiceNow/Jira or any other project management software. 
Excellent oral and written communications skills as necessary to communicate, negotiate, advice, or resolve issues that are highly complex including the ability to communicate technical information to nontechnical users effectively. 
Manage the intake process for all new Migration assessments. 
Position and propose the inclusion of partners for an assessment, when applicable. 
Provide high-level demonstrations &amp; overviews of migration tools to outline options to internal and external customers. 
Provide a single point of escalation for teams needing Migration assistance, or for high profile assessments. </t>
  </si>
  <si>
    <t>MS SQL DBA</t>
  </si>
  <si>
    <t>4-6 Years</t>
  </si>
  <si>
    <t>4 to 6 years of experience in MS SQL database administration backed by ability to work on cloud database support.
Expert in database administration Support and Administer database instances effectively, efficiently and independently Performing tasks related to installation and configuration, performance tuning, backup, recovery, security, patching, upgrades and high availability 
Resolve moderate to complex (P1, P2 and P3) incidents and problems effectively in a timely manner 
Providing 24X7 production support and available for escalations 
Responsible for performing root cause analysis and long term fix  
Responsible for implementation of medium to complex components of a project module, change request. 
Responsible for providing trend analysis to management team to enable them to make informed decisions 
Working in a cross cultural team and communicate effectively 
Mentoring and guiding junior team members 
Expertise in managing multiple MS SQL 2008/2012/2014/2016/2017/2019 RDBMS on medium to large systems 
Automation experience in the database support structure¿  
Ability to work with Azure and AWS Cloud (IaaS &amp; PaaS), Cloud technologies 
Good team player and willingness to explore and learn new areas/technologies 
Basic knowledge of Windows OS and its related commands 
Good knowledge of T-SQL and query tuning 
Good to have skills like Terraform, Ansible, Git, Jenkins  
Expertise in trouble shooting , pro-active monitoring, backup, restore/recovery and performance tuning 
High availability features – Mirroring, replication and clustering 
Good analytical skills 
Flexible to work in shifts 
Good team player and willingness to explore and learn new areas/technologies. </t>
  </si>
  <si>
    <t>7-9 Years</t>
  </si>
  <si>
    <t xml:space="preserve">7 to 9 years of experience in MS SQL database administration backed by ability to work on cloud database support.
Expert in database administration Support and Administer database instances effectively, efficiently and independently Performing tasks related to installation and configuration, performance tuning, backup, recovery, security, patching, upgrades and high availability 
Resolve moderate to complex (P1, P2 and P3) incidents and problems effectively in a timely manner 
Providing 24X7 production support and available for escalations 
Responsible for performing root cause analysis and long term fix  
Responsible for implementation of medium to complex components of a project module, change request. 
Responsible for providing trend analysis to management team to enable them to make informed decisions 
Working in a cross cultural team and communicate effectively 
Mentoring and guiding junior team members 
Expertise in managing multiple MS SQL 2008/2012/2014/2016/2017/2019 RDBMS on medium to large systems 
Automation experience in the database support structure¿  
Ability to work with Azure and AWS Cloud (IaaS &amp; PaaS), Cloud technologies 
Good team player and willingness to explore and learn new areas/technologies 
Basic knowledge of Windows OS and its related commands 
Good knowledge of T-SQL and query tuning 
Good to have skills like Terraform, Ansible, Git, Jenkins  
Expertise in trouble shooting , pro-active monitoring, backup, restore/recovery and performance tuning 
High availability features – Mirroring, replication and clustering 
Good analytical skills 
Flexible to work in shifts 
Good team player and willingness to explore and learn new areas/technologies. 
</t>
  </si>
  <si>
    <t>MS SQL DBA - SME</t>
  </si>
  <si>
    <t>10-12 Years</t>
  </si>
  <si>
    <t>10 to 12 years of experience in MS SQL database administration backed by ability to work on cloud database support.
SME in database administration Support and Administer database instances effectively, efficiently and independently Performing tasks related to installation and configuration, performance tuning, backup, recovery, security, patching, upgrades and high availability 
Resolve moderate to complex (P1, P2 and P3) incidents and problems effectively in a timely manner 
Providing 24X7 production support and available for escalations 
Responsible for performing root cause analysis and long term fix  
Responsible for implementation of medium to complex components of a project module, change request. 
Responsible for providing trend analysis to management team to enable them to make informed decisions 
Working in a cross cultural team and communicate effectively 
Mentoring and guiding junior team members 
Expertise in managing multiple MS SQL 2008/2012/2014/2016/2017/2019 RDBMS on medium to large systems 
Automation experience in the database support structure¿  
Ability to work with Azure and AWS Cloud (IaaS &amp; PaaS), Cloud technologies 
Good team player and willingness to explore and learn new areas/technologies 
Basic knowledge of Windows OS and its related commands 
Good knowledge of T-SQL and query tuning 
Good to have skills like Terraform, Ansible, Git, Jenkins  
Expertise in trouble shooting , pro-active monitoring, backup, restore/recovery and performance tuning 
High availability features – Mirroring, replication and clustering 
Good analytical skills 
Flexible to work in shifts 
Good team player and willingness to explore and learn new areas/technologies. 
A good knowledge of SQL Server security management
A good knowledge of how SQL Server acquires and manages resources
A good knowledge SQL Server data integrity and Migration 
A good knowledge on backup and recovery 
A good knowledge and hands on experience on Clustering, Always On, Replication, Log shipping, Mirroring.
A sound knowledge of both database and system performance tuning
Should have sound communication skills with management, development teams, vendors and systems administrators
Experience in Installation and applying patches. 
Very good SQL Server Cluster and Always On administration. 
Very Good hands on experience in application &amp; DB tuning on standalone and cluster databases. 
Good knowledge in Windows PowerShell scripting.  
Very Good experience in SQL Server Backup and recovery. 
Exposure to SQL Server Security, Audit will be desired. 
Predicting future SQL Server trends for hardware usage and user load. 
Provide a strategic database direction for the organization
Good exposure  on T-SQL, SSIS Package, procedure, Views, Function, Business logic etc
All the database restrictions for the applications. That is so that the installation is still supportable and conforms to all vendor (SQL Server) requirements. 
Good understanding of backup and recovery &amp; strong conceptual exposure for defining Backup/Retention strategy. 
Strong interpersonal and communication skills</t>
  </si>
  <si>
    <t>PostgreSQL DBA</t>
  </si>
  <si>
    <t>7 to 9 years of experience in PostgreSQL database administration backed by ability to work on cloud database support.
Expert in database administration Support and Administer database instances effectively, efficiently and independently Performing tasks related to installation and configuration, performance tuning, backup, recovery, security, patching, upgrades and high availability 
Resolve moderate to complex (P1, P2 and P3) incidents and problems effectively in a timely manner 
Providing 24X7 production support and available for escalations 
Responsible for performing root cause analysis and long term fix  
Responsible for implementation of medium to complex components of a project module, change request. 
Responsible for providing trend analysis to management team to enable them to make informed decisions 
Working in a cross cultural team and communicate effectively 
Mentoring and guiding junior team members 
Expertise in managing PostgreSQL on medium to large systems 
Automation experience in the database support structure 
Ability to work with Azure and AWS Cloud (IaaS &amp; PaaS), Cloud technologies 
Good team player and willingness to explore and learn new areas/technologies 
Basic knowledge of LINUX/Windows OS and its related commands 
Good knowledge of T-SQL and query tuning 
Good to have skills like Terraform, Ansible, Git, Jenkins  
Expertise in trouble shooting , pro-active monitoring, backup, restore/recovery and performance tuning 
Design, implement and manage PostgreSQL High availability and Disaster recovery features
Good analytical skills 
Flexible to work in shifts 
Good team player and willingness to explore and learn new areas/technologies. </t>
  </si>
  <si>
    <t>MySQL DBA</t>
  </si>
  <si>
    <t xml:space="preserve">7 to 9 years of experience in MySQL database administration backed by ability to work on cloud database support.
Expert in database administration Support and Administer database instances effectively, efficiently and independently Performing tasks related to installation and configuration, performance tuning, backup, recovery, security, patching, upgrades and high availability 
Resolve moderate to complex (P1, P2 and P3) incidents and problems effectively in a timely manner 
Providing 24X7 production support and available for escalations 
Responsible for performing root cause analysis and long term fix  
Responsible for implementation of medium to complex components of a project module, change request. 
Responsible for providing trend analysis to management team to enable them to make informed decisions 
Working in a cross cultural team and communicate effectively 
Mentoring and guiding junior team members 
Expertise in managing MySQL on medium to large systems 
Design solution for MySQL instance on Azure and AWS cloud.
Provision MySQL instances on Azure and AWS in clustered and non-clustered configurations
Ensure performance, security, and availability of databases
Prepare documentations and specifications
Handle common database procedures, such as upgrade, backup, recovery, migration, etc.
Migrate database to cloud.
Profile server resource usage, optimize and tweak as necessary
Collaborate with other team members and stakeholders
Migrate code, databse objects like table, views, stored procderues from MS SQL to MySQL
Solutioning and architecture designing exposure
Automation experience in the database support structure 
Ability to work with Azure and AWS Cloud (IaaS &amp; PaaS), Cloud technologies 
Good team player and willingness to explore and learn new areas/technologies 
Basic knowledge of LINUX/Windows OS and its related commands 
Good knowledge of T-SQL and query tuning 
Good to have skills like Terraform, Ansible, Git, Jenkins  
Expertise in trouble shooting , pro-active monitoring, backup, restore/recovery and performance tuning 
Design, implement and manage MySQL High availability and Disaster recovery features
Good analytical skills 
Flexible to work in shifts 
Good team player and willingness to explore and learn new areas/technologies. 
</t>
  </si>
  <si>
    <t>Cloud Security Analyst L1</t>
  </si>
  <si>
    <t>Cloud_Security_Analyst_L1_IS2</t>
  </si>
  <si>
    <t>Job Description:
A Cloud Security Analyst L1 is responsible for ensuring the security of cloud-based systems and infrastructure. This candidate works to identify and mitigate security risks and implement security measures to protect against potential threats. The role involves working with cloud platforms such as Azure and AWS, to ensure that they are secure and compliant with the security policies. 
The Cloud security analyst works on security alerts, incidents, and providing incident response adhering to security practices and frameworks. This analyst will be part of the 24x7 Security Operations Centre (SOC) team. You will be required to work in shifts.
Job Responsibilities:
•	Monitoring cloud-based systems and infrastructure for security breaches, managing such incidents.
•	Manage and support log collection, security scanning, intrusion detection, proxy, mail gateway and other security technologies. 
•	Conducting regular security assessments of cloud-based systems and infrastructure to identify vulnerabilities, security misconfigurations and recommending remediation strategies.
•	Perform Malware Analysis 
•	Review, triage security alerts, provide analysis, suggest remediation, track remediation.
•	Investigate and respond to security incidents (identifying, investigating, and responding to complex attacks)
•	Collaborating with other IT and security teams to ensure the overall security of the cloud infrastructure and ensure timely remediation of the security incidents.
•	Managing and maintaining security tools and technologies, such as Microsoft Defender for Cloud, Office365, AWS Security Hub, AWS Guardduty, AWS Config and other security-related software.
•	Keeping up to date with industry best practices and regulatory requirements related to cloud security and incorporating these into the organization's security policies and procedures.
•	Stay up to date with the latest security threats and trends in cloud security.
•	Conduct vulnerability assessments to identify and mitigate potential security risks.
•	Monitor and analyze security logs and alerts to identify security incidents and respond appropriately.
•	Good working experience and knowledge on SIEM technology (Microsoft Sentinel/ IBM QRadar/ ArcSight/ Securonix), Vulnerability management tools (NESSUS/Qualys), EDR and SOAR etc.
•	Ability to write technical documentation and present technical briefings to diverse audiences.
•	Strong understanding of threat landscape in terms of the tools, tactics, and techniques of threats employing both commodity and custom malware.
•	Responding to alerts from the various monitoring/detection systems and platforms within defined SLAs.
•	Knowledge on ITIL processes
Minimum Qualification &amp; Background:
•	3-5 years of Information Security and cloud security experience. Minimum 5 years in a large 24x7 Security Operations Centre (SOC) and Cloud security tools and technologies
•	Proven experience in cloud security or a related field
•	Experience with cloud platforms such as AWS, Azure, and Google Cloud
•	Familiarity with industry standards such as ISO 27001, NIST, and SOC 2
•	Knowledge of security technologies such as firewalls, IDS/IPS, SIEM, and endpoint protection
•	Should have minimum one cloud security certification (AZ-500, MS-500, SC-200, AWS Security Specialist, CCSP etc.,)
•	Excellent analytical and problem-solving skills
•	Strong communication and collaboration skills</t>
  </si>
  <si>
    <t>Cloud Security Analyst L2</t>
  </si>
  <si>
    <t>5-7 years</t>
  </si>
  <si>
    <t>Cloud_Security_Analyst_L2_IS2</t>
  </si>
  <si>
    <t>Job Description:
A Cloud Security Analyst L2 is responsible for ensuring the security of cloud-based systems and infrastructure. This candidate works to identify and mitigate security risks and implement security measures to protect against potential threats. The role involves working with cloud platforms such as Azure and AWS, to ensure that they are secure and compliant with the security policies. 
The Cloud security analyst works on threat intelligence, forensics support and incident response adhering to security practices and frameworks. This analyst will be part of the 24x7 Security Operations Centre (SOC) team. You will be required to work in shifts.
Job Responsibilities:
•	Monitoring cloud-based systems and infrastructure for security breaches, managing such incidents.
•	Manage and support log collection, security scanning, intrusion detection, proxy, mail gateway and other security technologies. 
•	Conducting regular security assessments of cloud-based systems and infrastructure to identify vulnerabilities, security misconfigurations and recommending remediation strategies.
•	Developing and implementing security policies, procedures, and controls for cloud-based systems and infrastructure.
•	Perform Malware Analysis 
•	Review, triage security alerts, provide analysis, suggest remediation, track remediation.
•	Support Security Information and Event management (SIEM) solutions. Support integration with various devices.
•	Investigate and respond to security incidents (identifying, investigating, and responding to complex attacks)
•	Collaborating with other IT and security teams to ensure the overall security of the cloud infrastructure and ensure timely remediation of the security incidents.
•	Managing and maintaining security tools and technologies, such as Microsoft Defender for Cloud, Office365, AWS Security Hub, AWS Guardduty, AWS Config and other security-related software.
•	Keeping up to date with industry best practices and regulatory requirements related to cloud security and incorporating these into the organization's security policies and procedures.
•	Stay up to date with the latest security threats and trends in cloud security.
•	Conduct vulnerability assessments to identify and mitigate potential security risks.
•	Monitor and analyze security logs and alerts to identify security incidents and respond appropriately.
•	Good working experience and knowledge on SIEM technology (Microsoft Sentinel/ IBM QRadar/ ArcSight/ Securonix), Vulnerability management tools (NESSUS/Qualys), EDR and SOAR etc.
•	Ability to write technical documentation and present technical briefings to diverse audiences.
•	Strong understanding of threat landscape in terms of the tools, tactics, and techniques of threats employing both commodity and custom malware.
•	Responding to alerts from the various monitoring/detection systems and platforms within defined SLAs.
•	Knowledge on ITIL processes
Minimum Qualification &amp; Background:
•	5-7 years of Information Security and cloud security experience. Minimum 5 years in a large 24x7 Security Operations Centre (SOC) and Cloud security tools and technologies
•	Several years of experience in cloud security, IT security, or a related field
•	Proven experience in cloud security or a related field
•	Experience with cloud platforms such as AWS, Azure, and Google Cloud
•	Familiarity with industry standards such as ISO 27001, NIST, and SOC 2
•	Knowledge of security technologies such as firewalls, IDS/IPS, SIEM, and endpoint protection
•	Should have minimum one cloud security certification (AZ-500, MS-500, SC-200, AWS Security Specialist, CCSP etc.,)
•	Excellent analytical and problem-solving skills
•	Strong communication and collaboration skills</t>
  </si>
  <si>
    <t>Cloud Security Analyst L2/L3</t>
  </si>
  <si>
    <t>Cloud_Security_Analyst_L2/L3_IS3</t>
  </si>
  <si>
    <t>Job Description:
A Cloud Security Analyst L3 is responsible for ensuring the security of cloud-based systems and infrastructure. This candidate works to identify and mitigate security risks and implement security measures to protect against potential threats. The role involves working with cloud platforms such as Azure and AWS, to ensure that they are secure and compliant with the security policies. 
The Cloud security analyst works on threat intelligence, forensics support and incident response adhering to security practices and frameworks. This analyst will be part of the 24x7 Security Operations Centre (SOC) team. You will be required to work in shifts.
Job Responsibilities:
•	Monitoring cloud-based systems and infrastructure for security breaches, managing such incidents.
•	Manage and support log collection, security scanning, intrusion detection, proxy, mail gateway and other security technologies. 
•	Conducting regular security assessments of cloud-based systems and infrastructure to identify vulnerabilities, security misconfigurations and recommending remediation strategies.
•	Developing and implementing security policies, procedures, and controls for cloud-based systems and infrastructure.
•	Perform Malware Analysis 
•	Review, triage security alerts, provide analysis, suggest remediation, track remediation.
•	Support Security Information and Event management (SIEM) solutions. Support integration with various devices.
•	Investigate and respond to security incidents (identifying, investigating, and responding to complex attacks)
•	Collaborating with other IT and security teams to ensure the overall security of the cloud infrastructure and ensure timely remediation of the security incidents.
•	Managing and maintaining security tools and technologies, such as Microsoft Defender for Cloud, Office365, AWS Security Hub, AWS Guardduty, AWS Config and other security-related software.
•	Keeping up to date with industry best practices and regulatory requirements related to cloud security and incorporating these into the organization's security policies and procedures.
•	Stay up to date with the latest security threats and trends in cloud security.
•	Conduct vulnerability assessments to identify and mitigate potential security risks.
•	Monitor and analyze security logs and alerts to identify security incidents and respond appropriately.
•	Implementation Knowledge on SIEM technology (Microsoft Sentinel/ IBM QRadar/ ArcSight/ Securonix), Vulnerability management tools (NESSUS/Qualys), EDR and SOAR etc.
•	Ability to write technical documentation and present technical briefings to diverse audiences.
•	Strong understanding of threat landscape in terms of the tools, tactics, and techniques of threats employing both commodity and custom malware.
•	Integration of Threat feeds 
•	Responding to alerts from the various monitoring/detection systems and platforms within defined SLAs.
•	Knowledge on ITIL processes
Minimum Qualification &amp; Background:
•	7-9 years of Information Security and cloud security experience. Minimum 5 years in a large 24x7 Security Operations Centre (SOC) and Cloud security tools and technologies
•	Several years of experience in cloud security, IT security, or a related field
•	Proven experience in cloud security or a related field
•	Experience with cloud platforms such as AWS, Azure, and Google Cloud
•	Familiarity with industry standards such as ISO 27001, NIST, and SOC 2
•	Knowledge of security technologies such as firewalls, IDS/IPS, SIEM, and endpoint protection
•	Should have minimum one cloud security certification (AZ-500, MS-500, SC-200, AWS Security Specialist, CCSP etc.,)
•	Excellent analytical and problem-solving skills
•	Strong communication and collaboration skills</t>
  </si>
  <si>
    <t>Security Automation</t>
  </si>
  <si>
    <t>Security_Automation_IS4</t>
  </si>
  <si>
    <t xml:space="preserve">Job Description: Cyber Security Automation Engineer 
Cyber Security Automation Engineer will be responsible to develop information security and incident response workflows, procedures and best practices and publish them as playbooks in SOAR platform, Azure and AWS Platforms. The candidate is responsible for automating the alert responses, report automation of cloud tools like Microsoft Defender, AWS Security hub, and Microsoft Sentinel. The candidate will be working with the most up to date Cloud Security products to automate both deployments across multiple Enterprise level customers and the development of SOC as a Manage Service. You will be part of 24x7 Security Operations Centre (SOC) team. 
Job Scope
•	Perform SIEM and SOAR product support and implementation.
•	procedures and best practices and publish them as playbooks in SOAR platform, Azure and AWS Platforms. The candidate is responsible for automating the alert responses, report automation of cloud tools like Microsoft Defender, AWS Security hub, and Microsoft Sentinel
•	Develop and maintain automation solutions including Sentinel deployment scripts and pipelines (IAC)
•	Responsible for configuring and enforcing policies Azure policies, AWS control tower policies, AWS config etc.,
•	Develop centralized repository to control the Analytics Rules, Playbooks and Automation rules
•	Develop Sentinel Playbooks, Workbooks, reports and playbooks.
•	Develop, implement, and execute standard procedures for the administration, content management, change management, version/patch management, and lifecycle management of the SIEM/SOAR platforms.
•	Develop information security and incident response workflows, procedures and best practices and publish them as playbooks in SOAR platform.
•	Should be able to write Cloudformation scripts, Python and Powershell scripts on need basis.
•	Worked along with Client on data onboarding and writing alerts, dashboards using the Kusto query Language.
Requirement
•	Should be AZ-204 Certified or any other relevant certifications
•	Min of 5 years of exp in IT security
•	Min of 2 years of exp in SIEM and SOAR content development and testing
•	Prior experience Sentinel automation and rule creation using KQL, Sentinel Playbooks, Workbooks, Logic Apps, cloudformation template, terraform etc.,
•	Exp in Implementation and support of any major SOAR platform and developing playbooks for automation.
•	Expertise in writing KQL searches and content use case development, well-versed with Azure architecture and design.
•	Exp with regular expressions and using regular expressions for data retrieval.
•	Strong knowledge of Windows, Linux, and UNIX OS
•	Azure DevOps and Pipelines, PowerShell, Python
•	ARM Templates, or Terraform (NICE TO HAVE)
•	Security Orchestration Automation and Response (SOAR)
</t>
  </si>
  <si>
    <t>IAM /PAM Engineer L2</t>
  </si>
  <si>
    <t>IAM_/PAM_Engineer_L2_IS2</t>
  </si>
  <si>
    <t xml:space="preserve">JD – IAM Engineer Level -2
Job Description:
IAM Engineer Level - 2
Summary
Looking for candidate with 5 years of experience in IT and 3-5 years of experience in Identity and access Management (IAM) stream.
Details of Experience: 
•	Experience in operations and support of IAM tools
•	Handling critical incidents &amp; issues. 
•	Experience performing user administration tasks for IAM tools &amp; azure AD.
•	Experience in MIM &amp; azure AD preference
•	Experience with on-boarding of new applications user access management with required controls
•	Experience with creating and documenting IAM procedures/policies for new applications being on-boarded.
•	Excellent customer service in telephone or electronic interaction with clients
•	Experience performing user administration in a Windows Active Directory environment.
•	Basic knowledge of UNIX/Linux administration commands
•	Versatility, flexibility, and a willingness to work with constantly changing priorities
•	Ability to work independently and follow existing documentation/procedure flow
•	Experience with work-flow management tools (i.e. ServiceNow, Jira) would be preferred
Location : India
</t>
  </si>
  <si>
    <t>IAM /PAM Engineer L3</t>
  </si>
  <si>
    <t>IAM_/PAM_Engineer_L3_IS3</t>
  </si>
  <si>
    <t>JD – IAM Engineer Level -3
Job Description:
IAM Engineer Level - 3
Summary
Looking for candidate with 7 years of experience in IT and 3-5 years of experience in Identity and access Management (IAM) stream.
Details of Experience: 
•	Experience in leading or guiding team.
•	Experience in handling critical incidents &amp; issue related to IAM, SSO, PAM, etc.
•	Experience performing user administration tasks for IAM tools &amp; azure AD.
•	MIM &amp; azure AD preference
•	Experience with on-boarding of new applications user access management with required controls
•	Experience with creating and documenting IAM procedures/policies for new applications being on-boarded.
•	Excellent customer service in telephone or electronic interaction with clients
•	Experience performing user administration in a Windows Active Directory environment.
•	Basic knowledge of UNIX/Linux administration commands
•	Versatility, flexibility, and a willingness to work with constantly changing priorities
•	Ability to work independently and follow existing documentation/procedure flow
•	Experience with work-flow management tools (i.e. ServiceNow, Jira) would be preferred
Location : India</t>
  </si>
  <si>
    <t>Cloud Security Governance</t>
  </si>
  <si>
    <t>Cloud_Security_Governance_IS4</t>
  </si>
  <si>
    <t>1.	Cloud Security Consultant:
•	5 – 8 years stong experience in design and architecture of cloud security in one or more cloud platforms such as Amazon Web Services (AWS)/ Microsoft Azure/GCP
•	Should be able to assess the current state of clients’ cloud infrastructure, develop strategies and roadmap for improvement and advise in further securing the clients’ cloud environments and interaction with their on-premise infrastructure
•	Assist clients in developing strategies to secure their cloud environment by providing high value consultancy work
•	Designing, developing and building security reference architectures for public, private, and hybrid Cloud based systems within Amazon Web Services (AWS), Microsoft Azure, or other cloud providers. 
•	Possess a firm understanding of security offerings within cloud platforms such as Amazon Web Services (AWS)/ Microsoft Azure/GCP platforms
•	Identifying, designing and deploying solutions to secure cloud usage, whether cloud-native or third party solutions
•	Lead security vision and strategy around cloud-based applications, across all types (including Infrastructure, Platform, and Software as a Service (IaaS/PaaS/SaaS) 
•	Coordinate with various technology and security teams for all matters related to cloud security .
•	Analyze business requirements and transalate them to technical security solutions.
•	Experience with assessment, development, implementation, optimization, and documentation of a comprehensive and broad set of security technologies and processes (secure software development (Application Security), data protection, cryptography, key management, identity and access management (IAM), network security) within SaaS, IaaS, PaaS, and other cloud environments.
•	Experience working and responding to RFI/RFP requirements for global customers, writing SOW, effort estimation
•	Experience in performing Cloud Security Assessments.
•	Experience with  Cloud security and governance tools, CASBs and server and network virtualization technologies.
•	Develop and execute strategies to increase Cloud Security knowledge across the organization and team.
•	Good understanding of IT Risk management,security  frameworks and standards  like COBIT, NIST 800 series, NIST CSF, ISO 31000, CSA-CCM,
•	Good understanding of regulatory compliance requirements such as SOX, GDPR, CCPA, PCI-DSS, FISMA, HIPAA, and HITRUST, RBI Cybersecurity requirements, DPA
•	Understanding of data protection &amp; privacy laws in various countries like US, UK, Europe, APAC- Singapore, Australia, and India.
•	Excellent interpersonal and communication skills required to partner with other leaders across the business to identify opportunities and risks and develop and deliver technical security solutions that support business strategies.
•	Should be having any two security related certifications such as CISSP, CISM, CCSP, CCSK
•	Should have any one cloud related certification, such as AWS certified, Azure Certified
•	Good to have SOX, GDPR, Privacy training and certifications</t>
  </si>
  <si>
    <t>Security Manager</t>
  </si>
  <si>
    <t>12-15 y ears</t>
  </si>
  <si>
    <t>Security_Manager_IS5</t>
  </si>
  <si>
    <t xml:space="preserve">Cybersecurity Manager (Job Description):
Cybersecurity Manager will be responsible for responsible for overall operations of Security Operations Centre. SOC is responsible to continuously monitor and analyze security threats and defends against potential security breaches; actively isolate and mitigate security risks. You lead a 24x7 Security Operations Centre (SOC) team.  
Job Responsibilities
•	Overall responsibility for the security operations including incident and response. 
•	Responsible for team &amp; vendor management, overall use of resources and initiation of corrective action where required for Security Operations Center
•	Provide leadership for the SOC operations. 
•	Collaborate and follow up with internal and external teams on response, remediation of incidents.
•	Provide leadership &amp; oversight for SOC operations.
•	Proactively identify and mitigate cyber security threats. 
•	Threat intelligence and its integration. Integration of Threat feeds 
•	Develop and maintain security SOC related procedures including incident response. 
•	Responsible for developing SOC metrics, reports, dashboards, and presentation to management. Responsible for continuous improvement plans
•	Support internal and external audits.
•	Lead and participation in emergency SOC call from 24x7 SOC monitoring.
•	Respond to incidents by collecting, analyzing, and preserving digital evidence to assist with the Incident Responders in remediation of critical information security incidents.
•	Proactively mitigate cyber security risks and strengthen the attack detection and response processes.
•	Improve and challenge existing processes and procedures in an agile and fast-moving information security environment.
•	Threat Hunting 
•	Perform threat management, threat modeling, identify threat vectors and develop use cases for security monitoring.
•	Responsible for integration of standard and non-standard logs with SOC platforms and tools
•	Manage and support the log collection, security scanning, intrusion detection, proxy, mail gateway and other security technologies. 
•	Malware Analysis 
•	Review, triage security alerts, provide analysis, suggest remediation, track remediation.
•	Support in resolving security incidents.
•	Investigate and respond to security incidents.
•	Monitor networks and systems for potential threats.
•	Knowledge of network data flows, ports, protocols, and other network and application services/technologies.
•	Responding to alerts from the various monitoring/detection systems and platforms within defined SLAs.
•	Current knowledge of security threat intelligence and recent attack vectors
•	Strong forensics analysis skills
•	Mentor and train team members
•	Knowledge on ITIL processes
Minimum Qualification &amp; Background:
•	10-15 years of Information Security experience.  Minimum 3 years as a SOC Manager or Lead in a large 24x7 Security Operations Centre (SOC) 
•	Implementation knowledge on SIEM technology (IBM/HP/LogRhythm/Splunk/Sentinel), Vulnerability management tools (NESSUS/Qualys), EDR and SOAR etc.
•	Ability to write technical documentation and present technical briefings to diverse audiences.
•	Strong understanding of threat landscape in terms of the tools, tactics, and techniques of threats employing both commodity and custom malware.
•	Knowledge of Information security life cycle, policies, process, and standards.
•	Relevant security certification will be a plus.
•	Knowledge of AWS, Azure and GCP
•	Knowledge of current security threats, techniques, and landscape. 
•	Security events, incident review and triage experience with Endpoint Detection and Response (EDR) tools
•	Experience and knowledge related to the configuration and maintenance of security monitoring and reporting platforms.
•	Ability to conduct detailed analysis of various security related events like Phishing, Spoofing, Ransomware and SQL Injections etc. 
•	Incident Response experience (identifying, investigating, and responding to complex attacks)
•	Experience with threat hunting.     </t>
  </si>
  <si>
    <t>8-12 years</t>
  </si>
  <si>
    <t>Azure DevOps &amp; CICD_IS4</t>
  </si>
  <si>
    <t>Roles: Azure DevOps Technical Lead
Should have 5+ years of relevant hands-on experience in DevOps implementation. Total years of experience of 8-12 years
Responsibilities:
•	Design and Architect DevOps strategy for Continuous Integration (“CI"), Continuous Deployment ("CD") process for applications hosted in Cloud and On-prem servers.
•	Create Ansible play book for configuration management as per the requirement.
•	Strategize DevOps CI/CD process based on project requirements.
•	Create pipelines and repositories in ADO for application &amp; infrastructure deployment as per the requirement with adherence to Standards.
•	Coordinate &amp; work with application and infrastructure team to ensure pipelines and repositories are working as expected in cloud during production or major releases if any.
•	Generate monthly and/or quarterly reports on repositories details and update customers periodically.
•	Must have scripting experience in Azure DevOps pipeline creation with Yaml, JSON &amp; API.
•	Terminate Azure Dev Ops access for the users as per the SOX compliance &amp; access management policy.
•	Create and provide access for the users to the repositories &amp; pipeline as per the Access management policy.
•	Create and update knowledge management document on known issues with resolutions if any.
•	Deploy application to AWS and On-Premise servers using Azure DevOps Pipelines</t>
  </si>
  <si>
    <t>7-10 years</t>
  </si>
  <si>
    <t>Azure DevOps &amp; CICD_IS3</t>
  </si>
  <si>
    <t>Roles: Senior Azure DevOps 
Should have 3 to 5 years of relevant hands-on experience in DevOps implementation. Total experience can be 7-10 years.
Responsibilities:
•	Design and Architect DevOps strategy for Continuous Integration (“CI"), Continuous Deployment ("CD") process for applications hosted in Cloud and On-prem servers.
•	Create Ansible play book for configuration management as per the requirement.
•	Strategize DevOps CI/CD process based on project requirements.
•	Create pipelines and repositories in ADO for application &amp; infrastructure deployment as per the requirement with adherence to Standards.
•	Coordinate &amp; work with application and infrastructure team to ensure pipelines and repositories are working as expected in cloud during production or major releases if any.
•	Generate monthly and/or quarterly reports on repositories details and update customers periodically.
•	Must have scripting experience in Azure DevOps pipeline creation with Yaml, JSON &amp; API.
•	Terminate Azure Dev Ops access for the users as per the SOX compliance &amp; access management policy.
•	Create and provide access for the users to the repositories &amp; pipeline as per the Access management policy.
•	Create and update knowledge management document on known issues with resolutions if any.
•	Deploy application to AWS and On-Premise servers using Azure DevOps Pipelines</t>
  </si>
  <si>
    <t>webMethods_IS3</t>
  </si>
  <si>
    <t>Roles: Senior webMethods Administrator &amp; Support Lead
Should have 5 years of hands-on experience in webMethods Administrator. Total experience of 7-10 years.
•	SOA Admin (Web Methods Administration and Support).
•	Will be responsible for the upgrading of Web Methods application servers from existing 10.5 version to 10.11 version and identifies the deprecated functions.
•	Responsible for installation and maintenance of web Methods servers on AWS Cloud and troubleshoot of any infra related issues.
•	Develops the scripts for auto installation of web Methods components like Integration Server, Universal Messaging, Terracotta and MyWebMethods Server.
•	Perform daily health check of web Methods Production servers and sharing the report.
•	Diagnoses the application server issues across each environment, resolves them on priority basis and takes prevention actions as required.
•	Coordinate with AWS Infrastructure team &amp; Vendor by supporting Operating System.
•	Kernel upgrades and to perform post patching validations if any.
•	Work with other application teams &amp; vendors to ensure the API are integrated
•	SOA Web Methods as per best practice.</t>
  </si>
  <si>
    <t>10-12 years</t>
  </si>
  <si>
    <r>
      <t>M365</t>
    </r>
    <r>
      <rPr>
        <sz val="11"/>
        <color rgb="FF000000"/>
        <rFont val="Calibri"/>
        <family val="2"/>
        <scheme val="minor"/>
      </rPr>
      <t xml:space="preserve"> </t>
    </r>
    <r>
      <rPr>
        <sz val="12"/>
        <color rgb="FF000000"/>
        <rFont val="Calibri"/>
        <family val="2"/>
        <scheme val="minor"/>
      </rPr>
      <t>Service_Project Manager_IS4</t>
    </r>
  </si>
  <si>
    <t>•	Facilitate the Quarterly Business Review (QBR) process
•	Monitor and communicate issues and risks
•	Execute SLA achievement</t>
  </si>
  <si>
    <t>SharePoint Online &amp; Power Platform</t>
  </si>
  <si>
    <t>8-10 years</t>
  </si>
  <si>
    <t>M365LeadDeveloper_IS3</t>
  </si>
  <si>
    <t>•	The SharePoint Sr. Analyst will resolve any issues forwarded by the M365 Analyst or IT Team.  The primary goal for level 2 support is to resolve end-user issues in accordance with current Service Level Agreements and Incident Management targets published.  Additionally, Level 2 support will engage with appropriate vendors as necessary for environment issues, configuration requirements, database size constraints, etc. 
•	Responsibilities include: 
•	Issues not resolved by 1st level support groups
•	Advanced Power Automate , DataVerse, Power BI and Power Apps Forms development and assistance to end users
•	Certification on Power Automate/ Power BI /Power Apps
•	The testing and release to production of developed applications, customizations, web parts etc. in accordance with approved functional releases for the SharePoint Online environment
•	Forwarding to the appropriate support group as defined by their responsibilities
•	Coordinate with  3rd party resources as necessary to resolve issues or improve performance
•	Responsible for executing and supporting SharePoint Online Retention process, as defined 
•	Responsible for maintaining/developing scripts for Security/Compliance requirements
•	Answer questions posed to the Support Community
•	Perform first level support
•	Resolve incidents
•	Escalate issues to RAIS IT personnel or Level 2
•	Perform basic end user training
•	Deliver presentations at SAG meeting
•	Update knowledge base</t>
  </si>
  <si>
    <t>10-14 years</t>
  </si>
  <si>
    <t>M365Analyst&amp;Architect_IS4</t>
  </si>
  <si>
    <t>•	The M365 Analyst will provide 1st level initial contact for end user support. This 1st level of support is to review the issue or request and either deliver a resolution in accordance with SLAs or forward to the appropriate responsible support group for resolution.
•	Responsibilities include: 
•	Scurm Master
•	Manage the operational environment
•	Perform development of Power Platform requests
•	Recommend solution architecture and application direction
•	Lead third level support issue resolution (vendor engagement)
•	Monitoring of incident queue and SAG request list
•	Acquiring an accurate description of the issue with specific details needed to resolve the issue including affected user(s), URLs, application and any additional business requirements
•	Basic trouble shooting steps (connectivity, account related, etc.)
•	SharePoint Online, Teams, Groups, Stream, Power Platform, Planner, Delve, and OneDrive general guidance around usage
•	Power BI, Power Automate and Power Apps Forms development and assistance to end users
•	Permissions issues
•	ShareGate reporting and end-user support
•	Formal and informal end-user training
•	Execute required reports for SharePoint Permission Review process
•	Provide Records Management migrations from SharePoint to Content Server
•	Support SharePoint retention process as defined for SharePoint Online
•	Communicate release management as notified by Fujitsu for upcoming releases
•	Initial Application troubleshooting and routing to appropriate support group for O365</t>
  </si>
  <si>
    <t>AzureDataDeveloper_IS3</t>
  </si>
  <si>
    <t>CERTIFICATION
•	Azure Data fundamental certified (DP-900)
•	Trained in Azure Power Platform.
•	Trained in SSIS  tool.
•	Trained in Core Java and SQL.
SKILLS
•	ETL Tool: Azure Data Factory
•	CRM TOOL: Salesforce
•	Database: MS SQL, Snowflake, Oracle
•	Cloud Services:  Microsoft Azure (Data Factory, Function App, Azure AD, DevOps, Logic App, Key Vault), Microsoft Power Platform
•	Web Technologies: HTML, CSS, JavaScript
•	Reporting Tool: Power BI
•	Programming: C#, .NET, Java.
•	Applications: MFT GoAnywhere, OpenText
•	TICKETING TOOL: Service now</t>
  </si>
  <si>
    <t>AMS</t>
  </si>
  <si>
    <t>SQL Developer</t>
  </si>
  <si>
    <t>4 to 6 years of experience in MS SQL development backed by ability to work on cloud database support.
Expert in SQL Queries and procedure, efficiently and independently Performing tasks related to analysing the requirement and build suitable SQL queries
Resolve moderate to complex (P1, P2 and P3) incidents and problems effectively in a timely manner 
Providing 24X7 production support and available for escalations 
Responsible for performing root cause analysis and long term fix  
Responsible for implementation of medium to complex components of a project module, change request. 
Responsible for providing trend analysis to management team to enable them to make informed decisions 
Working in a cross cultural team and communicate effectively 
Expertise in multiple MS SQL 2008/2012/2014/2016/2017/2019 RDBMS on medium to large systems 
Ability to work with Azure and AWS Cloud (IaaS &amp; PaaS), Cloud technologies 
Good team player and willingness to explore and learn new areas/technologies 
Basic knowledge of Windows OS and its related commands 
Good knowledge of MS-SQL and query tuning 
Good to have skills like PowerBI,Terraform, Ansible, Git, Jenkins  
Expertise in trouble shooting , pro-active monitoring and performance tuning 
Good analytical skills 
Flexible to work in shifts 
Good team player and willingness to explore and learn new areas/technologies. </t>
  </si>
  <si>
    <t>Microsoft .Net</t>
  </si>
  <si>
    <t>5-7 Years</t>
  </si>
  <si>
    <t>.Net Lead</t>
  </si>
  <si>
    <t>.Net Lead - Microsoft DotNet Appication Development &amp; Deployment, SQL DB, Azure</t>
  </si>
  <si>
    <t>5 Years</t>
  </si>
  <si>
    <t>Senior .Net Developer</t>
  </si>
  <si>
    <t>.Net Senior Developer - Microsoft DotNet Appication Development &amp; Deployment,SQL DB, Azure</t>
  </si>
  <si>
    <t>Java</t>
  </si>
  <si>
    <t>Java Lead</t>
  </si>
  <si>
    <t>Java Lead:  	At least 7+ years of professional software development experience.
	Experience with highly scalable/available service-oriented architectures.
	Experience in Microservices, preferably using DropWizard or the Spring Boot framework
	Java8, Spring Boot, Microservices, Spring Rest Webservices, Hibernate and Azure,
	Hands-on experience in UI technologies – Java script (ES6 standards) Angular 7 and above, or RejectJs with Redux framework, Bootstrap CSS, and material UI framework.
	Strong architecture and design skills. Be able to design, build and lead others to build systems that will be robust in the face of change.
	Indisputable command of computer science basics (data structures, sorting/searching algorithms, order analysis).
	Expertise in object-oriented language such as Java
	Experience with relational databases, such as MariaDB/MySQL or SQLServer.
	BS in Computer Science or related field. A combination of education plus equivalent work experience will be considered. Preferred qualifications
	Experience with Docker, Kubernetes, or AWS related technologies.
	Experience with message queues (e.g., ActiveMQ/RabbitMQ/SQS) at scale.Oracle, Lotus Notes</t>
  </si>
  <si>
    <t>Senior Java Developer</t>
  </si>
  <si>
    <t>Java Senior Developer, At least 5+ years of professional software development experience.
	Experience with highly scalable/available service-oriented architectures.
	Experience in Microservices, preferably using DropWizard or the Spring Boot framework
	Java8, Spring Boot, Microservices, Spring Rest Webservices, Hibernate and Azure,
	Hands-on experience in UI technologies – Java script (ES6 standards) Angular 7 and above, or RejectJs with Redux framework, Bootstrap CSS, and material UI framework.
	Strong architecture and design skills. Be able to design, build and lead others to build systems that will be robust in the face of change.
	Indisputable command of computer science basics (data structures, sorting/searching algorithms, order analysis).
	Expertise in object-oriented language such as Java
	Experience with relational databases, such as MariaDB/MySQL or SQLServer.
	BS in Computer Science or related field. A combination of education plus equivalent work experience will be considered. Preferred qualifications
	Experience with Docker, Kubernetes, or AWS related technologies.
	Experience with message queues (e.g., ActiveMQ/RabbitMQ/SQS) at scale.Oracle, Lotus Notes</t>
  </si>
  <si>
    <t xml:space="preserve">Android and Mob testing </t>
  </si>
  <si>
    <t xml:space="preserve">Android Mobile App Dev Lead (Monterrey) </t>
  </si>
  <si>
    <t>Job Summary: We are seeking an experienced Android Mobile Developer Lead with expertise in Kony platform, Android SDK, AEM and  Magento.  The ideal candidate will be responsible for leading a team of developers in designing and developing high-quality mobile applications that meet our clients' requirements.
Key Responsibilities:
•	Lead a team of developers in designing and developing mobile applications using Kony platform,and Android SDK
•	Evaluate, improve, and contribute to the design framework established by the team to define and promote standards and best practices. 
•	Collaborate with cross-functional teams to define, design, and ship new features
•	Ensure the performance, quality, and responsiveness of mobile applications
•	Identify and correct bottlenecks and fix bugs
•	Continuously discover, evaluate, and implement new technologies to maximize development efficiency
•	Perform code review and provide mentorship to other team members. 
•	Able to work with Azure DevOps &amp; CICD pipeline for mobile applications deployment
Required Skills and Qualifications:
•	Bachelor’s degree in computer science, Software Engineering or a related field
•	Proven experience in leading a team of developers in developing mobile applications using Kony platform, and Android SDK
•	At least 7+ years of proven hands-on experience in design, development, and unit testing of Product and Services based mobile apps using Android SDK
•	5+ years of experience in development of Native and Cross Platform mobile applications using KONY Platform 
•	Strong knowledge of mobile development best practices and architecture patterns
•	Experience in the full mobile development life cycle 
•	Experience in integrating mobile applications with AEM and Magento
•	Experience with RESTful APIs, JSON, and web technologies
•	Experience with unit testing frameworks for mobile 
•	Well versed on Core Java, HTML5, CSS, CSS3
•	Experience with Azure DevOps &amp; CICD pipeline for mobile applications
•	Knowledge of software design patterns and SOLID principles
•	Proficiency in Agile development methodologies
•	Excellent problem-solving and analytical skills
•	Strong communication and interpersonal skills
•	Familiarity with cloud technologies such as AWS or Azure</t>
  </si>
  <si>
    <t>Agile project management and Product Owner</t>
  </si>
  <si>
    <t xml:space="preserve">Agile Project Manager cum Product Owner </t>
  </si>
  <si>
    <t>We are seeking a highly skilled and experienced Agile Project Manager cum Product Owner to lead our Android mobile app development and AEM project. The successful candidate will be responsible for ensuring that the project is completed on time, within budget, and to the required quality standards.
Responsibilities:
•	Facilitate daily stand-up meetings, sprint planning meetings, sprint review meetings, and retrospective meetings.
•	Define and prioritize the product backlog, ensuring that it aligns with the product vision and roadmap
•	Work closely with customers and stakeholders to understand their needs and gather requirements
•	Create and maintain user stories, epics, and acceptance criteria in the product backlog
•	Collaborate with the development team to ensure that the user stories are properly estimated and understood
•	Collaborate with cross-functional teams to define project scope, goals, and deliverables.
•	Manage and track project progress, identify potential risks and issues, and develop mitigation plans.
•	Ensure that the project is delivered on time, within budget, and to the required quality standards.
•	Communicate project status, progress, and issues to stakeholders and senior management.
•	Foster a positive team environment and promote effective communication, collaboration, and teamwork.
•	Ensure that project documentation, including requirements, specifications, and test plans, are complete, accurate, and up-to-date.
Requirements:
•	Bachelor’s degree in computer science, Engineering, or related field.
•	At least 5 years of experience in software project management, with a focus on Adobe experience manager and mobile app development projects using SCRUM Agile
•	Ability to gather and analyze requirements and create user stories and acceptance criteria.
•	Strong understanding of the software development life cycle and best practices.
•	Must have good experience in Analytic (Google Analytic and Adobe Analytic)
•	Excellent communication, collaboration, and leadership skills.
•	Proven ability to manage multiple projects and priorities simultaneously.
•	Strong problem-solving and decision-making skills.
•	Experience with project management tools, such as Azure Dashboard or Jira
•	Good understanding on Azure DevOps CI/CD process
•	Certified Scrum Master (CSM) or equivalent Agile certification is preferred.
•	Experience with Android app development is a plus</t>
  </si>
  <si>
    <t>Agile Project Manager cum Product Owner (India) -Offshore</t>
  </si>
  <si>
    <t>We are seeking a highly skilled and experienced Agile Project Manager cum Product Owner to lead our Android mobile app development and AEM project. The successful candidate will be responsible for ensuring that the project is completed on time, within budget, and to the required quality standards.
Responsibilities:
•	Facilitate daily stand-up meetings, sprint planning meetings, sprint review meetings, and retrospective meetings.
•	Define and prioritize the product backlog, ensuring that it aligns with the product vision and roadmap.
•	Work closely with customers and stakeholders to understand their needs and gather requirements.
•	Create and maintain user stories, epics, and acceptance criteria in the product backlog
•	Collaborate with the development team to ensure that the user stories are properly estimated and understood.
•	Collaborate with cross-functional teams to define project scope, goals, and deliverables.
•	Manage and track project progress, identify potential risks and issues, and develop mitigation plans.
•	Ensure that the project is delivered on time, within budget, and to the required quality standards.
•	Communicate project status, progress, and issues to stakeholders and senior management.
•	Foster a positive team environment and promote effective communication, collaboration, and teamwork.
•	Ensure that project documentation, including requirements, specifications, and test plans, are complete, accurate, and up to date.
Requirements:
•	Bachelor’s degree in computer science, Engineering, or related field.
•	At least 5 years of experience in software project management, with a focus on Adobe experience manager and mobile app development projects using SCRUM Agile
•	Ability to gather and analyze requirements and create user stories and acceptance criteria.
•	Strong understanding of the software development life cycle and best practices.
•	Must have good experience in Adobe Campaign
•	Must have good experience in Analytic (Google Analytic and Adobe Analytic)
•	Excellent communication, collaboration, and leadership skills.
•	Proven ability to manage multiple projects and priorities simultaneously.
•	Strong problem-solving and decision-making skills.
•	Experience with project management tools, such as Azure Dashboard or Jira
•	Good understanding on Azure DevOps CI/CD process
•	Certified Scrum Master (CSM) or equivalent Agile certification is preferred.
•	Experience with Android app development is a plus
•	Experience in development using Adobe Experience Manager is a plus</t>
  </si>
  <si>
    <t>DB Architect</t>
  </si>
  <si>
    <t>Define Application Architecture
•Perform Application Architecture Review
•Store Procedure Reviews
•Performance Review
•Production Issues Support &amp; Troubleshooting
•Review Documentations created by DBA Support Team
•Activities related to Clustering
•Deployment related to Production Environments
•SQL Server On Premise &amp;
•DB Partition Activities
•Datawarehouse Integrations
•System Integrations
•Data Processing as per system requirements
•SQL Version Upgrades
•Design &amp; Review Jobs, Tables, Partitions Functions &amp; Groups</t>
  </si>
  <si>
    <t>AMS-Project Manager</t>
  </si>
  <si>
    <t xml:space="preserve">ITC is looking for a Project Manager to manage a Application Maintenance and 
Support project with 10-12 years of experience across a range of levels from different backgrounds and with various skills and expertise. 
In this role who can work with Customers, Delivery team.
Certifications 
Professional certification on Project/Program Management is highly desirable 
ITSM Certification
Roles and Responsibilities 
Project Manager should have good experience in managing large AMS programs and running managed service delivery. 
The Project Manager serves a key upfront role on these assessments by ensuring that customers are choosing the correct tools and programs throughout the planning and execution of their migration, as well as serving as a contact person to reduce friction and roadblocks throughout the customer’s migration journey and running efficient service delivery. 
Gather requirements from customers regarding desired outcomes of the assessment to ensure the appropriate tools and teams are included. 
Dealing with stakeholders, plan, organize, schedule, control, and monitor projects to ensure timely completion, cost effectiveness, and customer satisfaction. 
Proactively identifies potential delivery issues and drives resolution to avoid customer impact. 
Always look for area of opportunity for automation adoption and optimize resource efforts, efficiency and drive ROI 
Identifies scope changes from the original plan or agreement and escalates to the management team. 
Setting up the team and mentoring them Works directly with technical team and ensure project success and managing the team. 
Develop, maintain, and manage relationships with client executives and engagement sponsors and provides complex metrics and reporting support to all relevant stakeholders. 
Knowledge working closely with ServiceNow/Jira or any other project management software. 
Excellent oral and written communications skills as necessary to communicate, negotiate, advice, or resolve issues that are highly complex including the ability to communicate technical information to nontechnical users effectively. 
Manage the intake process for all new Migration assessments. 
Position and propose the inclusion of partners for an assessment, when applicable. 
Provide high-level demonstrations &amp; overviews of migration tools to outline options to internal and external customers. 
Provide a single point of escalation for teams needing Migration assistance, or for high profile assessments. </t>
  </si>
  <si>
    <t>12-18 Years</t>
  </si>
  <si>
    <t>Service Delivery Manager-Regions</t>
  </si>
  <si>
    <t>Role	 Service Delivery Managers- Regions
Relevant Experience	 8 Years in the Role- At least 5+ projects experience as a Service Manager
Overall Experience	12-18 Years – Covering all areas of SDLC ( In Support project Roles)
Experience Details	•	Experience in managing Development and Application Support projects with legacy and digital apps and other IT Programs to deliver within Schedule, Cost &amp; Quality with 50+member team.
•	Well versed with ITIL processes and able to design and implement a service life cycle. 
•	Well versed with quality audits and metrics related to service delivery
•	Experience in transition management (taking over services from other vendors)
•	Experience in handling projects in Microsoft stack / Java / Legacy system / Databases / Integration / Testing
•	Responsible for Service Delivery with consistent high level quality, on time and within budget.
Proven good track record: leadership and interpersonal skills with High level commitments to deliver end to end customer driven solutions
•	Expectational customer-facing skills, expertise in people management and ability to lead large diverse teams.
•	Good experience in driving Process Improvement initiative leveraging latest technologies.
•	Proficiency handling portfolio growth initiatives and experience around working on proposals.
•	Good Experience in Customer Interaction and Managing stakeholders and submit periodic project status reports to confirm project progress to the customer.
•	Proficiency in Support operations handling, Problem Management, Resource Management and Risk Management.
•	In-depth knowledge of escalation procedures, incident management, and other disciplines related to service delivery
•	Experience in project level activities of handling PMR, Audits and budget handling.
•	Retail domain experience is good to have
•	Good understanding of Project, Program and Financial management
•	Coach and Mentor the Project Managers
•	Readiness to demonstrate proactive mind set
•	Excellent verbal and written communication skills
•	PMP or equivalent
•	Scrum Master/Equivalent</t>
  </si>
  <si>
    <t>Skill</t>
  </si>
  <si>
    <t>Good communication and interpersonal skills.  Should be able to learn quickly on the new areas / cross functional areas
Experience either worked in the SAP AMS /  SAP config and development track
Experince in  SAP SD mainly covering Understanding on Sales Process, Contract management, Pricing concepts, OTC, Partner Determination, Text Management, Pricing, Taxes, Billing, Credit Management, Back Orders, and Master Data Management (MDM).
Experience in configuring Master Data, Document Types (Sales Order Types, Delivery Documents, Billing Documents, Credit and debit memo, etc.) including special order types (Third Party Processing, Consignment Processing, Inter-Company Billing and Inter-company stock transfers), Availability Check, Material Listing/Exclusion, Rebate processing, Deliveries and Post Goods Issues.
Experience Required :
2-6 years of experience with 1 implementation on SAP ERP implementation experience and 1 AMS experience worked with global customers
Good understanding of SAP Fiori apps 
Experience in SAP cross-functional areas such as FI/CO, MM/PP
Good understanding of all types of order processing models, including B2B, B2C, EDI would be added advantage
Experience in project cut-over, successful go-live and client handling during PGLS and alignment with AMS teams will be valued. 
Good knowledge in the below areas :
Electronic data interchange (EDI) : EDI Mapping
Integration: Materials Management(MM), Finance, Transportation Management, Management Accounting
Experience of third-party application integration using SAP PI/PO such as WM etc.</t>
  </si>
  <si>
    <t>Independently take up and participate in Business workshops, Design End to End solutions  .
Extensive experience either worked in the SAP AMS /  SAP config and development track
The candidate must have strong design and implementation knowledge of SAP SD mainly covering Understanding on Sales Process, Contract management, Pricing concepts, OTC, Partner Determination, Text Management, Pricing, Taxes, Billing, Credit Management, Back Orders, and Master Data Management (MDM).
Strong experience in configuring Master Data, Document Types (Sales Order Types, Delivery Documents, Billing Documents, Credit and debit memo, etc.) including special order types (Third Party Processing, Consignment Processing, Inter-Company Billing and Inter-company stock transfers), Availability Check, Material Listing/Exclusion, Rebate processing, Deliveries and Post Goods Issues.
Exceptional communication and interpersonal skills.
Experience Required :
Minimum 6-10 years of experience with 1-2 implementation on SAP ERP implementation experience and 2 AMS experience worked with global customers
Good understanding of SAP Fiori apps 
Experience in SAP cross-functional areas such as FI/CO, MM/PP
Strong understanding of all types of order processing models, including B2B, B2C, EDI.
Business knowledge and solution design experience in all areas of the Order To Cash cycle, including order processing and credit management
Proven experience in project cut-over, successful go-live and client handling during PGLS and alignment with AMS teams will be valued. 
Should also have additional knowledge in the below areas :
Electronic data interchange (EDI) : EDI Mapping
Integration: Materials Management(MM), Finance, Transportation Management, Management Accounting
Experience of third-party application integration using SAP PI/PO such as WM etc.</t>
  </si>
  <si>
    <t>Independently take up and participate in Business workshops, Design End to End solutions with SAP Activate, Agile and DevOps methodologies.
Extensive experience either in leading the SAP AMS /  leading the SAP config and development track
The candidate must have strong design and implementation knowledge of SAP SD mainly covering Understanding on Sales Process, Contract management, Pricing concepts, OTC, Partner Determination, Text Management, Pricing, Taxes, Billing, Credit Management, Back Orders, and Master Data Management (MDM).
Strong experience in configuring Master Data, Document Types (Sales Order Types, Delivery Documents, Billing Documents, Credit and debit memo, etc.) including special order types (Third Party Processing, Consignment Processing, Inter-Company Billing and Inter-company stock transfers), Availability Check, Material Listing/Exclusion, Rebate processing, Deliveries and Post Goods Issues.
Exceptional communication and interpersonal skills.
Experience Required :
Minimum 10 years of experience with 2-3 implementation on SAP ERP implementation experience
Good understanding of SAP Fiori apps 
Experience in SAP cross-functional areas such as FI/CO, MM/PP
Strong understanding of all types of order processing models, including B2B, B2C, EDI.
Business knowledge and solution design experience in all areas of the Order To Cash cycle, including order processing and credit management
Proven experience in project cut-over, successful go-live and client handling during PGLS and alignment with AMS teams will be valued. 
Should also have additional knowledge in the below areas :
Electronic data interchange (EDI) : EDI Mapping
Integration: Materials Management(MM), Finance, Transportation Management, Management Accounting
Experience of third-party application integration using SAP PI/PO such as WM etc.</t>
  </si>
  <si>
    <t>Independently take up and participate in Business workshops, Design End to End solutions 
Extensive experience either in wored in SAP AMS /  SAP config and development track
Should possess natural analytical way of thinking and troubleshooting issues.
Good communication and interpersonal skills.
Technical analysis and documentation of SAP MM/WM application, and it’s integration with other SAP applications like SAP TM, SAP SD, SAP FI and 3rd party applications. 
Experience Required :
Experienced in the areas of SAP ERP MM-PO &amp; MM-IM including Purchase Requisition and Purchase Orders, set up of stock transport orders, Purchase Pricing, PO Release and approvals, Inventory movements and integration to SAP SD (Sales and distribution) SAP Finance, SAP WM (Warehouse Management) etc. 
Inbound and Outbound IDOCs and Interfaces, Purchasing Output Management and Forms.
Understanding in Master data related to procurement like materials, Info records, Business Partners etc.
Good understanding of SAP Fiori apps 
Experienced with 3rd party interfaces and integration.
6-10 years overall experience and Implementation and delivery experience, which should include at least 1-2 full project lifecycles on SAP ERP and 2 AMS support experience worked across global customers  
Proven experience in project cut-over, successful go-live and client handling during PGLS and alignment with AMS teams will be valued. 
Third party integration – Movilizer, Barcoding, 3rd party applications</t>
  </si>
  <si>
    <t>Should possess natural analytical way of thinking and troubleshooting issues.
Good communication and interpersonal skills.  Should be able to learn quickly on the new areas / cross functional areas
Pls look for unique roles as follows :
1. SAP FICO, 2. SAP Treasury Managemant, 3. SAP Cash Management, 4. SAP Central Finance
Experience Required :
2-6 years of experience with 1 implementation in SAP ERP and 1 AMS expereince worked with Global customer 
Experience in SAP cross-functional areas such as SD, MM/PP, PS
Good knowledge in all types of order processing models, including B2B, B2C, EDI.
Experience in project cut-over, successful go-live and client handling during PGLS and alignment with AMS teams will be valued. 
Experience in FI: G/L, AP, AR, Treasury, Assets, Closing and Reporting, CO: CCA, PCA, Internal order, CO-PA, CO-PC
Experience in Controlling submodules like CO-Product Costing and CO-Profitability Analysis and CO-Profit center Accounting is must.
SAP Functional configuration expertise in General Ledger (FI- GL), Controlling (CO), Accounts Receivable (AR), Accounts Payable (AP), Asset Accounting (AA), Project Systems (PS) Profitability Analysis (PA), New GL,
Experience in Financial Month end Activity, Financial Closing Cockpit(Task template, Task list) and Intercompany reconciliation process. 
Good to have knowledge in Fiori Apps, Fiori Launchpad, Fiori Launchpad Designer configuration &amp; feature and Fiori application types.</t>
  </si>
  <si>
    <t>Independently take up and participate in Business workshops, Design End to End solutions with SAP 
Should possess natural analytical way of thinking and troubleshooting issues.
Good communication and interpersonal skills.
Pls look for unique roles as follows :
1. SAP FICO, 2. SAP Treasury Managemant, 3. SAP Cash Management, 4. SAP Central Finance
Experience Required :
Minimum 6-10 years of experience with 1-2 implementation in SAP ERP and 3 AMS expereince worked with Global customer 
Experience in SAP cross-functional areas such as SD, MM/PP, PS
Strong understanding of all types of order processing models, including B2B, B2C, EDI.
Proven experience in project cut-over, successful go-live and client handling during PGLS and alignment with AMS teams will be valued. 
Strong experience in FI: G/L, AP, AR, Treasury, Assets, Closing and Reporting, CO: CCA, PCA, Internal order, CO-PA, CO-PC
Very good experience in Controlling submodules like CO-Product Costing and CO-Profitability Analysis and CO-Profit center Accounting is must.
SAP Functional configuration expertise in General Ledger (FI- GL), Controlling (CO), Accounts Receivable (AR), Accounts Payable (AP), Asset Accounting (AA), Project Systems (PS) Profitability Analysis (PA), New GL,
Experience in Financial Month end Activity, Financial Closing Cockpit(Task template, Task list) and Intercompany reconciliation process. 
Experience with Simple Finance / Central Finance exposure will be given preference
Project experience activities to include preparation, synchronization, conversion and post processing, table mapping for HANA, comprehensive knowledge of BP roles and functionality of S4 HANA Finance is preferred. Should have an overview of Deployment option for S4H.
Good to have knowledge in Fiori Apps, Fiori Launchpad, Fiori Launchpad Designer configuration &amp; feature and Fiori application types.</t>
  </si>
  <si>
    <t>Good communication and interpersonal skills.  Should be able to learn quickly on the new areas / cross functional areas
Experience either in worked in SAP AMS /  SAP config and development track
Should possess natural analytical way of thinking and troubleshooting issues.
Experience Required :
2-6 years overall experience and Implementation and delivery experience, which should include at least 1 full project lifecycles on SAP ERP and 2 AMS support projects worked for global customers 
Good understanding of SAP Fiori apps 
Experienced with 3rd party interfaces and integration.
Experience in project cut-over, successful go-live and client handling during PGLS and alignment with AMS teams will be valued. 
Desired Skills
Expereince worked in across various End to End business processes and Best Practices across diversified businesses would be able to transform viable business needs and requirements into solutions quick and profound.
Experience in SAP Production Planning – Discrete Manufacturing,  Production Order Process, Planning Process – MRP, Sales and Operations Planning (SOP), MPS, Variant Configuration, SAP Batch Management, Serial Number Management, PP/QM Configuration, Baseline Configuration
SAP QM – Master data, inspection plan, calibration inspection, Quality certificate, Quality Notification, Control charts, Sample Management</t>
  </si>
  <si>
    <t>Independently take up and participate in Business workshops, Design End to End solutions 
Extensive experience either in worked in SAP AMS /  SAP config and development track
Should possess natural analytical way of thinking and troubleshooting issues.
Exceptional communication and interpersonal skills.
Providing recommendations for automated solutions to support new strategies
Should have worked as SAP ERP Senior lead consultant for past 4 years in SAP PP, SAP PM, SAP QM
Experience Required :
6-10 years overall experience and Implementation and delivery experience, which should include at least 1-2 full project lifecycles on SAP ERP and 2 AMS support projects worked for global customers 
Good understanding of SAP Fiori apps 
Experienced with 3rd party interfaces and integration.
Proven experience in project cut-over, successful go-live and client handling during PGLS and alignment with AMS teams will be valued. 
Desired Skills
Expereince worked in across various End to End business processes and Best Practices across diversified businesses would be able to transform viable business needs and requirements into solutions quick and profound.
Experience in SAP Production Planning – Discrete Manufacturing,  Production Order Process, Planning Process – MRP, Sales and Operations Planning (SOP), MPS, Variant Configuration, SAP Batch Management, Serial Number Management, PP/QM Configuration, Baseline Configuration
SAP QM – Master data, inspection plan, calibration inspection, Quality certificate, Quality Notification, Control charts, Sample Management</t>
  </si>
  <si>
    <t>2-6 years of experinece, 1 implementation and 1 support engagement
Experience either in worked in SAP AMS / SAP config and development track
Pls look for unique roles :  1. SAP ABAP, 2. SAP Workflow, SAP Fiori
Good experience within the following SAP toolsets: Middleware, BDOCs, ABAP Mapping, SLD/IR/ID configuration, Web Services, Screen Painter, Classes/Methods, BSPs, ABAP Workbench, WebDynpro for JAVA/ABAP, Workflow, Object Oriented ABAP, Function modules (RFC), SAP Script, Smartforms, Adobe Forms, BPM, User Exits, BADIs, ALV, ALE, EDI, IDOCs, CMOD, Enhancement Spots, BDC/Call Transaction, Logical Database, Data Dictionary, SAP Fiori etc.
Good experience in SAP FIORI/UI5 application development, Fiori Design pattern, UI Theme designer, UI principles, FIORI Launchpad configuration, FIORI Gateway Services
Java, JavaScript, CSS, HTML5, JQuery development experience preferred
Experience in worked multiple modules of SD, MM, PP/QM, WM, APO, FICO, TRM etc.
Good communication and interpersonal skills.  Should be able to learn quickly on the new areas / cross functional areas</t>
  </si>
  <si>
    <t>1-3 years’ experience with SAP implementation and SAP services management, 1 implementation and 1 AMS projects
Experience either in worked the SAP AMS /  the SAP config and development track
Should have working experience on SAP Enterprise Portal Administration and Development.
Should be exposed to atleast one of Webydnpro JAVA/ JAVA Portal applications design and development.
Good knowledge and understanding of LDAP, UME, SSO, FPN Configurations.
Experience in System object creation, transport of portal content, Destination Configurations.
Knowledge on UI theme designer and KM Content is added advantage.</t>
  </si>
  <si>
    <t>At least 8 years’ experience with SAP implementation and SAP services management with large global organisations with large SAP installations across multiple geographies.
Extensive experience either in worked the SAP AMS /  the SAP config and development track
Should have working experience on SAP Enterprise Portal Administration and Development.
Should be exposed to atleast one of Webydnpro JAVA/ JAVA Portal applications design and development.
Expertise on iViews, Pages, Roles, worksets creation in portal and in user administration activities.
Good knowledge and understanding of LDAP, UME, SSO, FPN Configurations.
Expertise in System object creation, transport of portal content, Destination Configurations.
Knowledge on UI theme designer and KM Content is added advantage.</t>
  </si>
  <si>
    <t>Independently take up and participate in Business workshops, Design End to End solutions 
Extensive experience either in worked in SAP AMS /  SAP config and development track
Manage the creation and maintenance of business roles systems to ensure accurate translation of Business Process to Master Roles in SAP ERP, SAP APO, SAP Cloud based solutions, SAP BW, BPC and FIORI systems as well as timely updates to system access to meet changes to statutory requirements
Manage the Access Risk through Segregation of Duty (SoD) Ruleset and ensure that any changes in the satellite systems are not moved into Production before completing SoD analysis on the changes.
Support the Risk and Governance Secretariat, ensuring that the SoD framework is upheld and strictly adhered to always.
Prepare timely and accurate reports and analysis for reporting to Management, and for Audit review.
Support the Change Control Board Secretariat, ensuring that all Change Requests to the SAP landscape have been assessed for impact on business operations, existing system resources and maintainability.
Requirements
2-6 years of experience with 1-2 implementation in SAP ERP and 3 AMS expereince worked with Global customer 
Concepts , Seggregation of Duties(SoD), Risk Analysis and Role Remediation.
Experience with complex cutovers especially related to security tasks both in an implementation and upgrade project.
Must have experience in Security and GRC Access Control 10.0
Possess troubleshooting skills for quick resolution of authorization defects.
Prior exposure to Multiple SAP Products and their functionality is a must
Good communication and interpersonal skills.  Should be able to learn quickly on the new areas / cross functional areas</t>
  </si>
  <si>
    <t>Independently take up and participate in Business workshops, Design End to End solutions 
Extensive experience either in worked in SAP AMS /  SAP config and development track
Manage the creation and maintenance of business roles systems to ensure accurate translation of Business Process to Master Roles in SAP ERP, SAP APO, SAP Cloud based solutions, SAP BW, BPC and FIORI systems as well as timely updates to system access to meet changes to statutory requirements
Manage the Access Risk through Segregation of Duty (SoD) Ruleset and ensure that any changes in the satellite systems are not moved into Production before completing SoD analysis on the changes.
Support the Risk and Governance Secretariat, ensuring that the SoD framework is upheld and strictly adhered to always.
Prepare timely and accurate reports and analysis for reporting to Management, and for Audit review.
Support the Change Control Board Secretariat, ensuring that all Change Requests to the SAP landscape have been assessed for impact on business operations, existing system resources and maintainability.
Requirements
Minimum 6-10 years of experience with 1-2 implementation in SAP ERP and 3 AMS expereince worked with Global customer 
Concepts , Seggregation of Duties(SoD), Risk Analysis and Role Remediation.
Experience with complex cutovers especially related to security tasks both in an implementation and upgrade project.
Must have experience in Security and GRC Access Control 10.0
Possess troubleshooting skills for quick resolution of authorization defects.
Prior exposure to Multiple SAP Products and their functionality is a must
Good interpersonal skills with good communication and presentation skills.</t>
  </si>
  <si>
    <t>Independently take up and participate in Business workshops, Design End to End solutions with SAP Activate, Agile and DevOps methodologies.
Extensive experience either in leading the SAP AMS /  leading the SAP config and development track
Manage the creation and maintenance of business roles systems to ensure accurate translation of Business Process to Master Roles in SAP ERP, SAP APO, SAP Cloud based solutions, SAP BW, BPC and FIORI systems as well as timely updates to system access to meet changes to statutory requirements
Manage the Access Risk through Segregation of Duty (SoD) Ruleset and ensure that any changes in the satellite systems are not moved into Production before completing SoD analysis on the changes.
Support the Risk and Governance Secretariat, ensuring that the SoD framework is upheld and strictly adhered to always.
Prepare timely and accurate reports and analysis for reporting to Management, and for Audit review.
Support the Change Control Board Secretariat, ensuring that all Change Requests to the SAP landscape have been assessed for impact on business operations, existing system resources and maintainability.
Requirements
8+ years of SAP Security Technical Experience with understanding of Authorization
Concepts , Seggregation of Duties(SoD), Risk Analysis and Role Remediation.
Experience with complex cutovers especially related to security tasks both in an implementation and upgrade project.
Must have experience in Security and GRC Access Control 10.0
Possess troubleshooting skills for quick resolution of authorization defects.
Prior exposure to Multiple SAP Products and their functionality is a must
Strong interpersonal skills with strong communication and presentation skills.</t>
  </si>
  <si>
    <t>Independently take up and participate in Business workshops, Design End to End solutions with SAP 
Should possess natural analytical way of thinking and troubleshooting issues.
Good communication and interpersonal skills.
Pls look for unique roles as follows :
1. SAP FICO, 2. SAP Treasury Managemant, 3. SAP Cash Management, 4. SAP Central Finance
Experience Required :
Minimum 10 years of experience with 1-2 implementation in SAP ERP and 3 AMS expereince worked with Global customer 
Experience in SAP cross-functional areas such as SD, MM/PP, PS
Strong understanding of all types of order processing models, including B2B, B2C, EDI.
Proven experience in project cut-over, successful go-live and client handling during PGLS and alignment with AMS teams will be valued. 
Strong experience in FI: G/L, AP, AR, Treasury, Assets, Closing and Reporting, CO: CCA, PCA, Internal order, CO-PA, CO-PC
Very good experience in Controlling submodules like CO-Product Costing and CO-Profitability Analysis and CO-Profit center Accounting is must.
SAP Functional configuration expertise in General Ledger (FI- GL), Controlling (CO), Accounts Receivable (AR), Accounts Payable (AP), Asset Accounting (AA), Project Systems (PS) Profitability Analysis (PA), New GL,
Experience in Financial Month end Activity, Financial Closing Cockpit(Task template, Task list) and Intercompany reconciliation process. 
Experience with Simple Finance / Central Finance exposure will be given preference
Project experience activities to include preparation, synchronization, conversion and post processing, table mapping for HANA, comprehensive knowledge of BP roles and functionality of S4 HANA Finance is preferred. Should have an overview of Deployment option for S4H.
Good to have knowledge in Fiori Apps, Fiori Launchpad, Fiori Launchpad Designer configuration &amp; feature and Fiori application types.</t>
  </si>
  <si>
    <t xml:space="preserve">Good communication and interpersonal skills.  Should be able to learn quickly on the new areas / cross functional areas
2-6 years’ experience with SAP implementation and SAP services management, 1 implementaiton and 1 AMS experinece
experience either worked in the SAP AMS /  leading the SAP config and development track
Essential Functions of the Job:
Assist with the configuration and maintenance of High Availability and Disaster Recovery SAP solutions.
Desired Knowledge and Skills Requirements:
Knowledge of SAP software and MS SQL and HANA databases, as well as working experience of key business applications including SAP ECC, BWoH, BOBJ, Cloud based solutions, PI/PO, SRM, SolMan, Fiori.
Experience working with SAP installations, upgrades (SAP version, EHP, SPS, Kernel, SUM), maintenance, monitoring, troubleshooting of issues and tuning and optimization.
Good knowledge on OS Windows/Linux administration, VMware virtualization, NAS/SAN storage, failover clustering, SAN replication, and other high availability technologies
Experience working with middleware, integration and web technologies for SAP solutions.
Experience working with Cloud solutions for SAP (installation, configuration, migration, testing, support).
Receive direction as the Basis team lead on strategy and operational support on integrated SAP systems and infrastructure.
Able to act independently, seeking consultation guidance and advice as appropriate
Experience in updates of Solution Manager, SLD and XI content as required. </t>
  </si>
  <si>
    <t xml:space="preserve">At least 6 years’ experience with SAP implementation and SAP services management with large global organisations with large SAP installations across multiple geographies.
Extensive experience in delivering Agile, DevOps, Activate methology 
Extensive experience either in worked the SAP AMS /  worked the SAP config and development track
ssential Functions of the Job:
Architect and implement day-to-day SAP basis administration activities in a complex multi-tier SAP landscape.
Ensure SAP based systems operate reliably and efficiently in a secure environment.
Ensure the adherence of standards and SAP best practices.
Be accountable for the support and proactive monitoring of the core SAP applications including installation, performance, break fixes and change requests per business requirements
Research complex application/System integration issues with functional teams; examine integration between various systems (SAP and non-SAP) for inconsistencies.
Assist with the configuration and maintenance of High Availability and Disaster Recovery SAP solutions.
Desired Knowledge and Skills Requirements:
Thorough knowledge of SAP software and MS SQL and HANA databases, as well as working experience of key business applications including SAP ECC, BWoH, BOBJ, Cloud based solutions, PI/PO, SRM, SolMan, Fiori.
Experience working with SAP installations, upgrades (SAP version, EHP, SPS, Kernel, SUM), maintenance, monitoring, troubleshooting of issues and tuning and optimization.
Good knowledge on OS Windows/Linux administration, VMware virtualization, NAS/SAN storage, failover clustering, SAN replication, and other high availability technologies
Experience working with middleware, integration and web technologies for SAP solutions.
Experience working with Cloud solutions for SAP (installation, configuration, migration, testing, support).
Receive direction as the Basis team lead on strategy and operational support on integrated SAP systems and infrastructure.
Able to act independently, seeking consultation guidance and advice as appropriate
Experience in updates of Solution Manager, SLD and XI content as required. </t>
  </si>
  <si>
    <t xml:space="preserve">At least 8 years’ experience with SAP implementation and SAP services management with large global organisations with large SAP installations across multiple geographies.
Extensive experience in delivering Agile, DevOps, Activate methology 
Extensive experience either in leading the SAP AMS /  leading the SAP config and development track
ssential Functions of the Job:
Architect and implement day-to-day SAP basis administration activities in a complex multi-tier SAP landscape.
Ensure SAP based systems operate reliably and efficiently in a secure environment.
Ensure the adherence of standards and SAP best practices.
Be accountable for the support and proactive monitoring of the core SAP applications including installation, performance, break fixes and change requests per business requirements
Research complex application/System integration issues with functional teams; examine integration between various systems (SAP and non-SAP) for inconsistencies.
Assist with the configuration and maintenance of High Availability and Disaster Recovery SAP solutions.
Desired Knowledge and Skills Requirements:
Thorough knowledge of SAP software and MS SQL and HANA databases, as well as working experience of key business applications including SAP ECC, BWoH, BOBJ, Cloud based solutions, PI/PO, SRM, SolMan, Fiori.
Experience working with SAP installations, upgrades (SAP version, EHP, SPS, Kernel, SUM), maintenance, monitoring, troubleshooting of issues and tuning and optimization.
Good knowledge on OS Windows/Linux administration, VMware virtualization, NAS/SAN storage, failover clustering, SAN replication, and other high availability technologies
Experience working with middleware, integration and web technologies for SAP solutions.
Experience working with Cloud solutions for SAP (installation, configuration, migration, testing, support).
Receive direction as the Basis team lead on strategy and operational support on integrated SAP systems and infrastructure.
Able to act independently, seeking consultation guidance and advice as appropriate
Experience in updates of Solution Manager, SLD and XI content as required. </t>
  </si>
  <si>
    <t>At least 6 years’ experience with SAP implementation and SAP services management with large global organisations with large SAP installations across multiple geographies.
Extensive experience either worked in the SAP AMS /  the SAP config and development track
ssential Functions of the Job
Looking for unique roles for the JD
1. SAP DP, 2. SAP SNP, SAP PPDS, SAP SNC
Extentive experience in one or more modules  : SCM solution – Demand Planning (APO DP), Distribution Requirements Planning and Manufacturing Planning (APO SNP and APO PP DS), Supplier Network Colloboration (SNC) influence skills to drive business solutions.
Must have deep understanding of APO and interdependency of different processes within APO
Extensive experience should be in End-to-end Implementation, Support, upgrade, optimization and various areas with implementation of Sub-modules like DP, SNP, CIF, PPDS, SNC, TLB and and  SAP APO-ECC integration</t>
  </si>
  <si>
    <t>At least 8 years’ experience with SAP implementation and SAP services management with large global organisations with large SAP installations across multiple geographies.
Extensive experience in delivering Agile, DevOps, Activate methology 
Extensive experience either in leading the SAP AMS /  leading the SAP config and development track
ssential Functions of the Job
Looking for unique roles for the JD
1. SAP DP, 2. SAP SNP, SAP PPDS, SAP SNC
Extentive experience in one or more modules  : SCM solution – Demand Planning (APO DP), Distribution Requirements Planning and Manufacturing Planning (APO SNP and APO PP DS), Supplier Network Colloboration (SNC) influence skills to drive business solutions.
Must have deep understanding of APO and interdependency of different processes within APO
Extensive experience should be in End-to-end Implementation, Support, upgrade, optimization and various areas with implementation of Sub-modules like DP, SNP, CIF, PPDS, SNC, TLB and and  SAP APO-ECC integration</t>
  </si>
  <si>
    <t>Experence of around 1-4 years with excellent communication skills
The candidate must have strong design and implementation knowledge of either SAP SD or MM mainly covering Pricing, OTC process / Purchasing process, Master data, Enterprise elements and SD / MM - Finance integration.
Experience in 1-2 full lifecycle software implementations and 1 AMS implementation experience
Collaborative and consultative work style
Ability to link business processes with products/solutions</t>
  </si>
  <si>
    <t>Independently take up and participate in Business workshops, Design End to End solutions  .
Experence of around 6+ years with excellent communication skills
Experience in managing large teams and customer facing rolls
Understand and work with different teams to provide solution roadmap to clients
The candidate must have strong design and implementation knowledge of either SAP SD or MM mainly covering Pricing, OTC process / Purchasing process, Master data, Enterprise elements and SD / MM - Finance integration.
Experience in 1-2 full lifecycle software implementations and 2 AMS implementation experience
Collaborative and consultative work style
Ability to link business processes with products/solutions</t>
  </si>
  <si>
    <t>2 to 6 years’ experience with SAP implementation and SAP services management, 1 implementation and 1 AMS experience
Experience in assessment and gap analysis of MDM projects, test and validate all releases and regression
Support business users with MDG data (customer, pricing, vendor, finance and accounting, APO, HR, workflow processes)
Manages the analysis and execution of new master data setup or data changes
Effectively coordinate with internal team, partners and Customer's data governanace COE to manage the day-to-day maintenance requirement
Experience in automate access control the business functions can see and act upon the data in accordance with their job function
Proactively seeks, analyses, adminsters and communicates actionable data to the customer around data management</t>
  </si>
  <si>
    <t>At least 8 years’ experience with SAP implementation and SAP services management with large global organisations with large SAP installations across multiple geographies.
Extensive experience in delivering Agile, DevOps, Activate methology 
Should have Delivery management experience of 8+ years in SAP implementation, Rollout, Managed Services for manufacturing/CPG domain
Lead the assessment and gap analysis of MDM projects, test and validate all releases and regression
Support business users with MDG data (customer, pricing, vendor, finance and accounting, APO, HR, workflow processes)
Manages the analysis and execution of new master data setup or data changes
Effectively coordinate with internal team, partners and Customer's data governanace COE to manage the day-to-day maintenance requirement
Automates access control the business functions can see and act upon the data in accordance with their job function
Proactively seeks, analyses, adminsters and communicates actionable data to the customer around data management</t>
  </si>
  <si>
    <t>At least 15 years’ experience with SAP implementation and SAP services management with large global organisations with large SAP installations across multiple geographies.
Have onsite delivery experience around 6+ yeaear preferably in APAC and Europe
Extensive experience in delivering Agile, DevOps, Activate methology 
Should have Delivery management experience of 15+ years in SAP implementation, Rollout, Managed Services for manufacturing/CPG domain
Lead the assessment and gap analysis of MDM projects, test and validate all releases and regression
Support business users with MDG data (customer, pricing, vendor, finance and accounting, APO, HR, workflow processes)
Manages the analysis and execution of new master data setup or data changes
Effectively coordinate with internal team, partners and Customer's data governanace COE to manage the day-to-day maintenance requirement
Automates access control the business functions can see and act upon the data in accordance with their job function
Proactively seeks, analyses, adminsters and communicates actionable data to the customer around data management</t>
  </si>
  <si>
    <t>1-2 yrs  of experience in implement and deploy SAP Cloud Integration Suite solutions (CPI), SAP PO, SAP PI  to achieve defined business goals
Maintain skills in SAP applications process design and configuration
Work as part of small teams and/or work efforts (if in an individual contributor role) to deliver integration solutions to customers. 
Production Support of integration processes as needed
Technical configuration for domain areas
Escalation point for solution design or troubleshooting with outside service partners
Supporting and implementing technical integrations with a variety of global 3rd party applications.
Must be a team player to collaboratively and effectively deliver high quality work product and communicate with others on multi-disciplinary teams.
Responsible for troubleshooting technical problems.
Map the business process to SAP Technologies-CPI, BOOMI, SAP Fiori, SAP UI5,etc.</t>
  </si>
  <si>
    <t>3-5 yrs  of experience in Design, implement and deploy SAP Cloud Integration Suite solutions (CPI), SAP PO, SAP PI  to achieve defined business goals
Maintain skills in SAP applications process design and configuration
SAP application design, development, integration, testing, deployment and technical architecture
Work as part of small teams and/or work efforts (if in an individual contributor role) to deliver integration solutions to customers. 
Implement or deploy capabilities as required: End-to-End process design, testing strategy, cutover plans, training, etc.
Production Support of integration processes as needed
Technical configuration for domain areas
Escalation point for solution design or troubleshooting with outside service partners
Supporting and implementing technical integrations with a variety of global 3rd party applications.
Understand end-to-end Business Processes
Must be a team player to collaboratively and effectively deliver high quality work product and communicate with others on multi-disciplinary teams.
Responsible for successful end to end delivery.
Responsible for troubleshooting technical problems.
Map the business process to SAP Technologies-CPI, BOOMI, SAP Fiori, SAP UI5,etc.</t>
  </si>
  <si>
    <t>13+ years of experince in SAP  integration including  SAP PO, PI and CPI
Analyze integration requirements, design and implement complex, state-of-the-art end-to-end integration scenarios across multiple technologies and multiple modules.
Define integration architectures and API strategies.
Interface design and implementation based on SAP Cloud Platform Integration Suite and SAP Process Orchestration.
Integration of cloud solutions and platforms (SAP, Salesforce, Azure, AWS), IoT services and external business partners.
Evaluate new SAP technologies and supporting building know-how in these areas, which are integrated into cbs processes.
Technical integration consulting and development as part of global SAP ECC, S/4HANA or C/4HANA implementation projects.
Be responsible for cbs projects and customers in the technology area as well as engage in pre-sales support in all kinds of SAP technology topics.
Act as a technical team lead for the requested deliverables which includes adhering to the timeline, effort and assuring quality.
Collaboration with the onsite team.
Coach colleagues in functional, technical, and methodic topics.
Sharing knowledge and experience with the colleagues.
Contribute to cbs best practices and methodologies.</t>
  </si>
  <si>
    <t xml:space="preserve">Required Skills:
Responsible for building integration solutions on the MuleSoft Anypoint Platform with design of specifications, design and development of APIs meeting, deployment, testing and Support.
3- 5 yrs of Experience required in Mulesoft Development.
Experience working directly with technical and business teams. Knowledge of SDLC, IT governance and operations.
Experience in packaging and deploying MuleSoft applications.
Experience working with CI/CD tools like GitHub, Maven, Azure DevOps etc.
Experience with messaging platforms Anypoint MQ,IBM MQ etc.
Experience working with Mule Connectors ( Standard &amp; Custom).
Bachelors degree required.
Good verbal and written communication skills are essential.
Strong critical thinking and problem-solving skills.
Experience working with overseas teams.
MuleSoft developer certified shall be preferred
</t>
  </si>
  <si>
    <t>7+ years of Overall experience and Experience in architecture, design and implementation of MuleSoft integration and integration experience along with Java based solutions (refer mandatory skills)
Candidate should have 1+ years of Architecture design and consulting skills
Extensive experience in API's / Web services / SOA development
Extensive experience with successful implementations of highly scalable and highly available systems
Experience with agile/DevOps development processes
Skills Required
Expertise in Muelsoft,
Expertise in Java, Web services, APIs, SOA and any RDBMS
Messaging - JMS APIs, ActiveMQ etc
Development tools (Maven, Ant, Jira, Eclipse)
Any source versioning control tools expertise
Good knowledge on OOPS concepts and design/integration patterns</t>
  </si>
  <si>
    <t xml:space="preserve">10-12 years of experience as an Architect for developing API, ESB, Middleware tools based messaging or EDI or customer integration. Application developed involves communication with both .Net, Java, or Microservices based new or existing legacy platforms
Excellent knowledge and hands-on experience with multiple platforms and related technologies: MuleSoft, any Opensource ESB, .Net WebAPI, Java Messaging Service, Apache Kafka, IBM CP4I, Rabbit MQ.
Experience with common architectures like Hub-Spoke, Federated ESB, Open API, Queues, Streaming Architecture
Knowledge of common software engineering practices Requirements Engineering, Design Patterns, Code Analysis, Performance, DevOps (CI/CD) and architecture modelling practices (UML, Swagger, etc.)
Architect the solution for web and hybrid enterprise applications for several platforms (Mobile, Web, B2C/ B2B, Data systems)
Know the best practices and risks in terms of security.
Always keen to learn new things, share your knowledge, embrace change and learn from past experiences.
Integrate with other application developed in Cloud or on-premise
Collaborate with Product Team and Application team
Review code for well-designed components and testable code
Integrate software components into a fully functional software system
Troubleshoot, debug and upgrade existing integration
Comply with project plans
Comply to industry best practices and standards
Should possess excellent time management skills
</t>
  </si>
  <si>
    <t>1-2 yrs of Talend developer experience , ETL development , RDBMS , SQL , TAC, TMC.
• Knowledge and hands-on experience with ETL development
• Hands on experience on implementing different loading strategies like SCD1
and SCD2, Table/ partition refresh, insert update, Swap Patriation using Talend.
• Experience in Consuming and writing data from and to Flat files, RDMBS
systems, MPPS, Jason and XML using Talend
• Experience on RDBMS systems and concepts
• Expertise in writing and complex SQL queries and developing Database
components including creating views, stored procedures, triggers etc.
• Create test cases and perform unit testing of ETL Jobs using Talend.
• Hands on experience on ETL jobs orchestration using Talend.
• Hands on experience on creating Triggers on TAC server for Scheduling the
Talend jobs
• Experience on creating batch level processing, parallel process using Talend.
• Analytical mind with a problem-solving and debugging skills.
• Excellent Communication Skills
• Awareness of Replication, Synchronization and Disaster Management
techniques
• Awareness of Data Quality Management</t>
  </si>
  <si>
    <t>3-5 yrs of Talend developer experience , ETL development , RDBMS , SQL , TAC, TMC.
• Knowledge and hands-on experience with ETL development
• Hands on experience on implementing different loading strategies like SCD1
and SCD2, Table/ partition refresh, insert update, Swap Patriation using Talend.
• Experience in Consuming and writing data from and to Flat files, RDMBS
systems, MPPS, Jason and XML using Talend
• Experience on RDBMS systems and concepts
• Expertise in writing and complex SQL queries and developing Database
components including creating views, stored procedures, triggers etc.
• Create test cases and perform unit testing of ETL Jobs using Talend.
• Hands on experience on ETL jobs orchestration using Talend.
• Hands on experience on creating Triggers on TAC server for Scheduling the
Talend jobs</t>
  </si>
  <si>
    <t>Should have 10+ years of experience on multiple Talend products (DI, ESB) with having a good understanding of Talend roadmap.
Experience with performing key architecture and design in the area of Talend DI and ESB.
Experience with managing a community of practice (especially Talend) consisting of ETL developer responsible for data movement and transformation across various data assets in DaaS (Data-as-a-service) using multiple ETL tools including Talend, IBM DataStage, Informatica etc is strongly preferred.
Experience with establishing the roadmap for the ETL practice for DaaS and providing leadership with an on-going focus on reusability, scalability and innovation within the community of practice.
Prior experience with identifying and recommending opportunities to enhance productivity, effectiveness and operational efficiency of the business unit and/or team.
Experience with API/first architecture design, distributed systems (e.g., microservices, Virtualization) and cloud infrastructure for large scale data warehouse, data lakes, data fabric
Extensive hands-on experience with building tools/accelerators for migrating from one ETL tool to other including migrating to Snowflake etc.
Should be able to manage stakeholders at various levels independently and understand the client’s IT state and business. He / She should be able to build a team and guide team members towards quality delivery and focused up skilling.
Experience in solutioning / Architecting Talend project including infrastructure sizing etc
Should have worked in min 4-5 Talend + SQL projects
Good knowledge in Database and strong SQL knowledge
Should be able to transfer Business Requirement to Technical Document
Should be able to do Estimation of effort based on the requirement
Hands on experience Talend DI with database and file handling
Knowledge of SDLC / Agile methodologies and tools</t>
  </si>
  <si>
    <t>Scrum Master</t>
  </si>
  <si>
    <t>Relevant Experience	3-5 Years in the Role- Agile Process, Scrum master
Overall Experience	8-10 Years - Agile management in all areas of SDLC
Experience Details	
•	Should have worked as Scrum Master or RTE or Product Owner for on at least two or more implementations for  SFDC projects
•	Expertise in Agile and Lean ways of working at project/ enterprise level. .
•	In depth knowledge of Scrum, Kanban and Scaling agile models.
•	Experience in training individuals and teams in agile principles and practices. .
•	Provide hands on coaching to 2-4 Agile teams simultaneously with in-depth guidance on agile roles, rituals, and artifacts.
•	Continuously measure and report the progress of teams and Business units in meeting their goals.
•	Agile Lifecycle Management tool expertise. Preferably with JIRA / Rally / AzureDevOps software.
•	Either possesses a background working directly in a technology role or can demonstrate the ability to understand the procedures and challenges of a variety of technology functions involved in the product development life cycle.
•	Flexible and resilient and willingness to take initiative to create approaches to complex problems.
•	Strong collaborative problem solver.
•	Exposure to XP engineering practices such as TDD, BDD, CI/ CD, Automation etc is a plus
•	Experience in tracking Agile metrics and also project metrics.
•	Ability to perform RCA and advise the project team on best measures
•	String knowledge on QAG process and respective metrics
•	Flexibly respond to shifting business needs and priorities.
Certifications( At least One)	
•	Scrum master
•	Safe Agilist
•	Project Management
•	Test Management
Certifications(At least One)	•	SFDC Admin</t>
  </si>
  <si>
    <t>Role	Business Analyst - Salesforce CRM
Relevant Experience	4-6 Years in the Role- At least 2+ full implementations in SFDC project
Overall Experience	8-10 Years – Covering all  areas of SDLC( Functional)
Experience Details	•	Collaborate with Business,   Partners, Architects and Tech Leads to elaborate on the requirements.
•	Build effective and productive key business stakeholder relationships (including BPO).
•	Early involvement in solution design and estimations.
•	Understands how the IT solution supports the Business Process End2End. Has process and IT landscape expertise in CRM applications
•	Analyze main business processes and requirements and translate into IT solutions.
•	Responsible to maximize the use and acceptance of standard/catalogue based solutions to support business needs driving industry best practices processes.
•	Responsible to maintain product backlog with user stories to cover development effort for the upcoming sprints.
•	Develop user stories/ wireframes (both functional and system operational requirements) and work with client on elaboration and ambiguity resolution.
•	Ongoing validation of deliverables against requirements.
•	Flexibly respond to shifting business needs and priorities.
•	Prior to UAT validates that solution meets business requirements.
•	Train key users and ensure availability of training and support materials.
•	Proven knowledge of business process and its KPI’s, including best practices to support the relevant business processes {Sales and Services processes}.
•	4-6 years of minimum implementation experience in cloud based CRM platforms like SFDC Sales Cloud is required.
•	Customer facing consulting, good stakeholder management skills are required.
•	Acts independently to determine methods and procedures on new or special assignments. May supervise the activities of others.
•	Prefer 8-10 years of IT experience, including Agile.
•	Exercises independent judgment in methods, techniques and evaluation criteria for obtaining results. Creates formal networks involving coordination among global work groups.
Certifications(At least one)	•	Scrum master
•	Safe Agilist
•	Project Management
•	Test Management
•	Business Analyst
SFDC-Certifications (At least One)	•	SFDC BA
•	SFDC Admin
•	SFDC ( Sales/Service/MKT)</t>
  </si>
  <si>
    <t>Role	Business Analyst - Salesforce MKT/Service
Relevant Experience	4-6 Years in the Role- At least 2+ full implementations in SFDC project
Overall Experience	8-10 Years – Covering all areas of SDLC( Functional)
Experience Details	
•	Experience in Force.com Platform, Service Cloud and Marketing Cloud.
•	Experience in implementing Marketing cloud Email Studio, Mobile Studio and Integration with Salesforce.
•	Having Experience in integrating salesforce with external application using third party tools via SOAP and REST API Integration.
•	Familiar with all the governance limitations across editions of salesforce.com.
•	Experience in Enterprise projects (both Onshore and Offshore) with co-ordination between teams geographically.
•	Experience in Salesforce Marketing Cloud Implementation and Enhancements life cycle.
•	Follow standard coding practices, keeping custom code organized, readable, maintainable, and documented.
•	Collaborate with Business,   Partners, Architects and Tech Leads to elaborate on the requirements.
•	Build effective and productive key business stakeholder relationships (including BPO).
•	Early involvement in solution design and estimations.
•	Understands how the IT solution supports the Business Process End2End. Has process and IT landscape expertise in MKT/Service Cloud applications
•	Analyze main business processes and requirements and translate into IT solutions.
•	Responsible to maximize the use and acceptance of standard/catalogue based solutions to support business needs driving industry best practices processes.
•	Responsible to maintain product backlog with user stories to cover development effort for the upcoming sprints.
•	Develop user stories/ wireframes (both functional and system operational requirements) and work with client on elaboration and ambiguity resolution.
•	Ongoing validation of deliverables against requirements.
•	Flexibly respond to shifting business needs and priorities.
•	Prior to UAT validates that solution meets business requirements.
•	Train key users and ensure availability of training and support materials.
•	Proven knowledge of business process and its KPI’s, including best practices to support the relevant business processes {Sales and Services processes}.
•	4-6 years of minimum implementation experience  in MKT and Service cloud
•	Customer facing consulting, good stakeholder management skills are required.
•	Acts independently to determine methods and procedures on new or special assignments. May supervise the activities of others.
•	Prefer 8-10 years of IT experience, including Agile.
•	Exercises independent judgment in methods, techniques and evaluation criteria for obtaining results. Creates formal networks involving coordination among global work groups.
Certifications(At least one)	•	Scrum master
•	Safe Agilist
•	Project Management
•	Test Management
•	Business Analyst
SFDC-Certifications (At least One)	•	SFDC BA
•	SFDC Admin
•	SFDC ( Sales/Service/MKT)</t>
  </si>
  <si>
    <t>Service Managers</t>
  </si>
  <si>
    <t>Role	Salesforce Developer - CRM
Relevant Experience	4-6 Years in the Role- At least 1+ full implementations in SFDC project as Developer
Overall Experience	6-8 Years – Covering all areas of SDLC( technical)
Experience Details	•	Experience in implementing Lightning Aura and Web Components, Apex Controllers, Visual Force Pages, Visual Force Components, Batch Apex, Schedulers and Apex Triggers.
•	Experience in Web Scripting Language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Release Management with multiple phases.
•	Production Deployment Best Practices
•	Min 4+ Years of Salesforce  hands on Experience as developer
SFDC-Certifications (At least two)	•	SFDC ( Service/Marketing)
•	SFDC ( PD1/PD2)
•	SFDC Admin
•	SFDC App developer</t>
  </si>
  <si>
    <t>Role	Salesforce Tech Lead/Architect - CRM
Relevant Experience	6-8 Years in the Role- At least 2+ full implementations in SFDC project as a lead/architect
Overall Experience	8-10 Years – Covering all areas of SDLC( technical)
Experience Details	•	Salesforce Certified: Certified Service Cloud/Sales Cloud Consultant, System/Application Architect
•	Enterprise Solution and Architecture Design on Salesforce Platform
•	Experience on ISV and OEM Packages on Salesforce
•	Multi-Country Roll-out experience with expertise in full RM life cycle
•	Experience in Multiple Salesforce.com Products such as Salesforce Platform and CRM application.
•	Experience with Design and build - clean, high performing (i.e., user-oriented, fast, efficient, extensible, scalable) Salesforce and Salesforce-integrated applications following best practices and using the latest technologies.
•	Experience in implementing Lightning Components, Apex Controllers, Visual Force Pages, Visual Force Components, Batch Apex, Schedulers and Apex Triggers.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Salesforce Implementation and Enhancements life cycle with multiple geographies.
•	Experience in Release Management with multiple phases.
•	Production Deployment Best Practices.
•	10Years of  hands on experience is  mandatory
Certifications(At least one)	•	Scrum master
•	Project Management
•	Business Analyst
SFDC-Certifications (At least two)	•	SFDC ( Service/Marketing/Sales)
•	SFDC ( PD1/PD2)
•	SFDC App developer
•	SFDC Architect</t>
  </si>
  <si>
    <t>Role	Salesforce Developer – Service Cloud
Relevant Experience	4-6 Years in the Role- At least 1+ full implementations in SFDC project as Developer in Service Cloud Project
Overall Experience	6-8 Years – Covering all areas of SDLC( technical)
Experience Details	•	Experience in implementing Lightning Aura and Web Components, Apex Controllers, Visual Force Pages, Visual Force Components, Batch Apex, Schedulers and Apex Triggers.
•	Experience in Web Scripting Language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Release Management with multiple phases.
•	Production Deployment Best Practices
•	Min 4+ Years of Salesforce  hands on Experience as developer in Service Cloud application
SFDC-Certifications (At least two)	•	SFDC ( Service Cloud)
•	SFDC ( PD1/PD2)
•	SFDC Admin
•	SFDC App developer</t>
  </si>
  <si>
    <t>Role	Salesforce Tech Lead/Architect - MKT/Service
Relevant Experience	6-8 Years in the Role- At least 2+ full implementations in SFDC project as a lead/architect
Overall Experience	8-10 Years – Covering all areas of SDLC( technical)
Experience Details	•	Experience in Force.com Platform, Service Cloud and Marketing Cloud.
•	Experience in implementing Marketing cloud Email Studio, Mobile Studio and Integration with Salesforce.
•	Having Experience in integrating salesforce with external application using third party tools via SOAP and REST API Integration.
•	Familiar with all the governance limitations across editions of salesforce.com.
•	Experience in Enterprise projects (both Onshore and Offshore) with co-ordination between teams geographically.
•	Experience in Salesforce Marketing Cloud Implementation and Enhancements life cycle.
•	Follow standard coding practices, keeping custom code organized, readable, maintainable, and documented.
•	Salesforce Certified: Certified Service Cloud/SMKT Cloud Consultant, System/Application Architect
•	Enterprise Solution and Architecture Design on Salesforce Platform
•	Experience on ISV and OEM Packages on Salesforce
•	Multi-Country Roll-out experience with expertise in full RM life cycle
•	Experience in Multiple Salesforce.com Products such as Salesforce Platform and CRM application.
•	Experience with Design and build - clean, high performing (i.e., user-oriented, fast, efficient, extensible, scalable) Salesforce and Salesforce-integrated applications following best practices and using the latest technologies.
•	Experience in implementing Lightning Components, Apex Controllers, Visual Force Pages, Visual Force Components, Batch Apex, Schedulers and Apex Triggers.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Salesforce Implementation and Enhancements life cycle with multiple geographies.
•	Experience in Release Management with multiple phases.
•	Production Deployment Best Practices.
•	10Years of  hands on experience is  mandatory
Certifications(At least one)	•	Scrum master
•	Project Management
•	Business Analyst
SFDC-Certifications (At least two)	•	SFDC ( Service/Marketing)
•	SFDC ( PD1/PD2)
•	SFDC App developer
•	SFDC Architect</t>
  </si>
  <si>
    <t>Role	Salesforce Developer – MKT Cloud
Relevant Experience	4-6 Years in the Role- At least 1+ full implementations in SFDC project as Developer in MKT cloud Project
Overall Experience	6-8 Years – Covering all areas of SDLC( technical)
Experience Details	•	Experience in implementing Marketing cloud Email Studio, Mobile Studio and Integration with Salesforce.
•	Having Experience in integrating salesforce with external application using third party tools via SOAP and REST API Integration.
•	Familiar with all the governance limitations across editions of salesforce.com.
•	Experience in Enterprise projects (both Onshore and Offshore) with co-ordination between teams geographically.
•	Experience in Salesforce Marketing Cloud Implementation and Enhancements life cycle.
•	Follow standard coding practices, keeping custom code organized, readable, maintainable, and documented.
•	Experience in implementing Lightning Aura and Web Components, Apex Controllers, Visual Force Pages, Visual Force Components, Batch Apex, Schedulers and Apex Triggers.
•	Experience in Web Scripting Language
•	Work closely with operations and product managers on business requirements analysis, design and implementation.
•	Experience in designing and implementing Custom Business Process via Apex and Lightning Technology.
•	Familiar with all the governance limitations across editions of salesforce.com
•	Having Experience in integrating salesforce with external application using third party tools via SOAP and REST API Integration
•	Experience in Release Management with multiple phases.
•	Production Deployment Best Practices
•	Min 4+ Years of Salesforce  hands on Experience as developer in MKT  Cloud application
SFDC-Certifications (At least two)	•	SFDC ( MKT Cloud)
•	SFDC ( PD1/PD2)
•	SFDC Admin
•	SFDC App developer</t>
  </si>
  <si>
    <t>Role	DevOps Engineer - Salesforce
Relevant Experience	4-6 Years in the Role- At least 1+ full implementations in SFDC project as Devops engineer
Overall Experience	6-8 Years – Covering all areas of SDLC( technical)
Experience Details	•	Extensive experience in SFDC Administration with sound experience in automation
•	Working Experience with application deployment on Salesforce components using Flosum Tool
•	Should have good understanding of Flosum and the flow required for Salesforce deployment
•	Should have hands-on experience and performed a live Salesforce deployment through Flosum end-to-end setup
•	Need sound knowledge on Flosum pipeline management, Flosum Branching Strategy, Flosum Basics etc.
•	Working experience in scripting for deployment/sandbox maintenance
•	Experience in Customizing existing pipelines and integrations/scripts for deployment
•	Exposure on DevOps tools like Jenkins, Git, Bitbucket, Puppet, Ansible etc
•	Certification on Flosum will be added advantage (Flosum Certified Professional)
•	Experience in Release Management with multiple phases.
•	Production Deployment Best Practices
•	Min 4+ Years of Salesforce  hands on Experience as Devops Engineer for SFDC
SFDC-Certifications (At least two)	•	SFDC ( PD1/PD2)
•	SFDC Admin
•	Flosum</t>
  </si>
  <si>
    <t>Roles</t>
  </si>
  <si>
    <t>Skillset</t>
  </si>
  <si>
    <t>Test Manager</t>
  </si>
  <si>
    <t>(SAP/Non-SAP, Testing, Stakeholder, Process and consulting), HP QC</t>
  </si>
  <si>
    <t>7-10 yrs</t>
  </si>
  <si>
    <t>Core SAP modules knowledge
Testing skillset
Will need to review logged test cases for completeness and reported accordingly.
Accountable for all quality process.
Test Lifecycle Management
Will need to work with both internal and external stakeholders to manage the defect through its entire lifecycle.
Working experience with HPQC is a must. JIRA experience preferred.
Defect Triage Management - both Internal and Client
Will need to manage Triage Meetings (both internal and External).
Will need to liaise  between Client, Project and Product Teams for Defect Management.
Reporting
Generation of daily reports.
Extraction of ad-hoc reports from HPQC Data.
Proficiency with Excel.
Understanding, working with and reporting trend analysis.
Follow up with the teams for updates
Testing Automation – Selenium/TOSCA/UFT
TC Design.
Execution.
Release Management and Best practices set up
Consolidate Defect Fixes and prepare documentation.</t>
  </si>
  <si>
    <t>5-7 yrs</t>
  </si>
  <si>
    <t>Core SAP modules knowledge
Testing skillset
Will need to review logged test cases for completeness and reported accordingly.
Accountable for all quality process.
Test Lifecycle Management
Will need to work with both internal stakeholders to manage the defect through its entire lifecycle.
Working experience with HPQC is a must. JIRA experience preferred.
Defect Triage Management - both Internal and Client
Will need to manage Triage Meetings (both internal and External).
Will need to liaise  between Client, Project and Product Teams for Defect Management.
Reporting
Generation of daily reports.
Extraction of ad-hoc reports from HPQC Data.
Proficiency with Excel.
Understanding, working with and reporting trend analysis.
Follow up with the teams for updates
Testing Automation – Selenium/TOSCA/UFT
TC Design.
Execution.
Release Management
Consolidate Defect Fixes and prepare documentation.</t>
  </si>
  <si>
    <t>Automation</t>
  </si>
  <si>
    <t>UFT Automation, API testing with SOAP UI, Tosca Live Compare</t>
  </si>
  <si>
    <t>0-2 yrs</t>
  </si>
  <si>
    <t xml:space="preserve">Good in manual testing concept
Develop and execute automation test scripts using SOAP UI/UFT/TOSCA
Defect Creation
</t>
  </si>
  <si>
    <t>2-5 yrs</t>
  </si>
  <si>
    <t>Develop automated test scripts using UFT/QTP/SOAP UI as the main testing tool
Must have experience with TOSCA and Live compare
Good to have SAP module knowledge
Good in manual testing concept
Good in Data parametization
Defect creation</t>
  </si>
  <si>
    <t>UFT Automation, API testing with SOAP UI, Manager, Automation framework and strategy roadmap, Tosca Live compare</t>
  </si>
  <si>
    <t xml:space="preserve">Develop automated test scripts using UFT/QTP/SOAP UI as the main testing tool
Must have experience with TOSCA and Live compare
Good to have SAP module knowledge
Good in manual testing concept
Good in Data parametization
Automation Framework Desiging and Maintence
Automation Best Practices creation
Status Reorting experince
Defect Triage Management - both Internal and Client
Should have experience in parallel execution and cross browser testing
Should have experience in team leading
E2E scenarions Automation 
Expertise in test management tool like JIRA </t>
  </si>
  <si>
    <t>Performance Testing</t>
  </si>
  <si>
    <t>Performance Testing with loadrunner, stakeholder communication, Jmeter</t>
  </si>
  <si>
    <t xml:space="preserve">Strong knowledge in STLC, SDLC and Agile methodology
Exerience in REST assured 
Test Data Creation
Experince in SOAP UI and Load Runner
Defect Creation
</t>
  </si>
  <si>
    <t>Performance Testing, Loadrunner, stakeholder communication, Performance engineering</t>
  </si>
  <si>
    <t xml:space="preserve">Strong knowledge in STLC, SDLC and Agile methodology
Experience in automation framework development,
Good knowledge in selenium Webdriver with Java,
REST assured and Cucumber BDD
Expertise in API automation using RestAssured / Postman /SOAP UI/Load Runner
Well experienced in Java programming
Exposure in Jira, Postman
Experience in performance testing by using JMeter/ LoadRunner (Any one project)
Defect Triage Management - both Internal and Client
Expertise in test management tool like JIRA </t>
  </si>
  <si>
    <t>Katalon Studio &amp; Successfactors</t>
  </si>
  <si>
    <t>Strong knowledge in STLC, SDLC and Agile methodology
5 Year experience in complex SuccessFactors 
3 Experience in designing and/or implementing SuccessFactors (in lead roles)
Certified in one or more SuccessFactors modules
Strong communication and leading skills
Experience in Defect Creation and RCA</t>
  </si>
  <si>
    <t>TOSCA Tricentis, Non-SAP application, model based test automation framework</t>
  </si>
  <si>
    <t>Exerience in TOSCA Tool
Develope automated test scripts using TOSCA
Must have experince in Module Creation,TDM,TCD,Excel, Test Case creation and Execution
Must have experience with TOSCA and Live compare
Good to have SAP module knowledge
Good in manual testing concept
Good in Data parametization
Defect creation
Liabrary Creation, Cross browser Testing, API Testing</t>
  </si>
  <si>
    <t>Project Management</t>
  </si>
  <si>
    <t>Quality Release Management, Stakeholder management, Pipeline</t>
  </si>
  <si>
    <t>Will need to review logged test cases for completeness and reported accordingly.
Test Lifecycle Management
Will need to work with both internal and external stakeholders to manage the defect through its entire lifecycle.
Working experience with HPQC is a must. JIRA experience preferred.
Defect Triage Management - both Internal and Client
Will need to manage Triage Meetings Internal.
Will need to liaise  between Client, Project and Product Teams for Defect Management.
Reporting
Generation of daily reports.
Extraction of ad-hoc reports from HPQC Data.
Proficiency with Excel.
Understanding, working with and reporting trend analysis.
Follow up with the teams for updates
Release Management and Best practices set up
Consolidate Defect Fixes and prepare documentation.</t>
  </si>
  <si>
    <t>Will need to review logged test cases for completeness and reported accordingly.
Accountable for all quality process.
Test Lifecycle Management
Will need to work with both internal and external stakeholders to manage the defect through its entire lifecycle.
Working experience with HPQC is a must. JIRA experience preferred.
Defect Triage Management - both Internal and Client
Will need to manage Triage Meetings (both internal and External).
Will need to liaise  between Client, Project and Product Teams for Defect Management.
Reporting
Generation of daily reports.
Extraction of ad-hoc reports from HPQC Data.
Proficiency with Excel.
Understanding, working with and reporting trend analysis.
Follow up with the teams for updates
Release Management and Best practices set up
Consolidate Defect Fixes and prepare documentation.</t>
  </si>
  <si>
    <t>IS Level</t>
  </si>
  <si>
    <t>10-15 yrs</t>
  </si>
  <si>
    <t>15 - 20 yrs</t>
  </si>
  <si>
    <t>20+ yrs</t>
  </si>
  <si>
    <t>D2C CRM and Mulesoft APIs</t>
  </si>
  <si>
    <t>FICO+CFIN/SLT (Mindtree)</t>
  </si>
  <si>
    <t>GLQ</t>
  </si>
  <si>
    <t>Salesforce CRM</t>
  </si>
  <si>
    <t>Salesforce MKT/Service</t>
  </si>
  <si>
    <t xml:space="preserve">DevOps Engineer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</si>
</sst>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_-[$£-809]* #,##0_-;\-[$£-809]* #,##0_-;_-[$£-809]* &quot;-&quot;??_-;_-@_-"/>
  </numFmts>
  <fonts count="12">
    <font>
      <sz val="11"/>
      <color theme="1"/>
      <name val="Calibri"/>
      <family val="2"/>
      <scheme val="minor"/>
    </font>
    <font>
      <b/>
      <sz val="11"/>
      <color theme="1"/>
      <name val="Calibri"/>
      <family val="2"/>
      <scheme val="minor"/>
    </font>
    <font>
      <b/>
      <sz val="10"/>
      <color theme="1"/>
      <name val="Calibri"/>
      <family val="2"/>
      <scheme val="minor"/>
    </font>
    <font>
      <sz val="10"/>
      <color theme="1"/>
      <name val="Calibri"/>
      <family val="2"/>
      <scheme val="minor"/>
    </font>
    <font>
      <sz val="10"/>
      <color rgb="FF000000"/>
      <name val="Calibri"/>
      <family val="2"/>
    </font>
    <font>
      <b/>
      <sz val="11"/>
      <color theme="0"/>
      <name val="Calibri"/>
      <family val="2"/>
      <scheme val="minor"/>
    </font>
    <font>
      <b/>
      <sz val="12"/>
      <color rgb="FF000000"/>
      <name val="Calibri"/>
      <family val="2"/>
    </font>
    <font>
      <sz val="11"/>
      <color theme="1"/>
      <name val="Calibri"/>
      <family val="2"/>
    </font>
    <font>
      <sz val="11"/>
      <color rgb="FF000000"/>
      <name val="Calibri"/>
      <family val="2"/>
    </font>
    <font>
      <sz val="11"/>
      <color rgb="FF444444"/>
      <name val="Calibri"/>
      <family val="2"/>
    </font>
    <font>
      <sz val="12"/>
      <color rgb="FF000000"/>
      <name val="Calibri"/>
      <family val="2"/>
      <scheme val="minor"/>
    </font>
    <font>
      <sz val="11"/>
      <color rgb="FF000000"/>
      <name val="Calibri"/>
      <family val="2"/>
      <scheme val="minor"/>
    </font>
  </fonts>
  <fills count="6">
    <fill>
      <patternFill patternType="none"/>
    </fill>
    <fill>
      <patternFill patternType="gray125"/>
    </fill>
    <fill>
      <patternFill patternType="solid">
        <fgColor theme="2" tint="-9.9978637043366805E-2"/>
        <bgColor indexed="64"/>
      </patternFill>
    </fill>
    <fill>
      <patternFill patternType="solid">
        <fgColor rgb="FF0070C0"/>
        <bgColor indexed="64"/>
      </patternFill>
    </fill>
    <fill>
      <patternFill patternType="solid">
        <fgColor rgb="FFFFC000"/>
        <bgColor indexed="64"/>
      </patternFill>
    </fill>
    <fill>
      <patternFill patternType="solid">
        <fgColor rgb="FFD9E1F2"/>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68">
    <xf numFmtId="0" fontId="0" fillId="0" borderId="0" xfId="0"/>
    <xf numFmtId="0" fontId="0" fillId="0" borderId="0" xfId="0" applyAlignment="1">
      <alignment vertical="center"/>
    </xf>
    <xf numFmtId="0" fontId="2" fillId="0" borderId="1" xfId="0" applyFont="1" applyBorder="1" applyAlignment="1">
      <alignment horizontal="center" vertical="center"/>
    </xf>
    <xf numFmtId="1" fontId="2" fillId="0" borderId="1" xfId="0" applyNumberFormat="1" applyFont="1" applyBorder="1" applyAlignment="1">
      <alignment horizontal="center" vertical="center"/>
    </xf>
    <xf numFmtId="1" fontId="3" fillId="0" borderId="1" xfId="0" applyNumberFormat="1" applyFont="1" applyBorder="1" applyAlignment="1">
      <alignment horizontal="center" vertical="center"/>
    </xf>
    <xf numFmtId="1" fontId="3" fillId="0" borderId="0" xfId="0" applyNumberFormat="1" applyFont="1" applyAlignment="1">
      <alignment horizontal="center" vertical="center"/>
    </xf>
    <xf numFmtId="0" fontId="3" fillId="0" borderId="0" xfId="0" applyFont="1" applyAlignment="1">
      <alignment horizontal="center" vertical="center"/>
    </xf>
    <xf numFmtId="0" fontId="2" fillId="2" borderId="1" xfId="0" applyFont="1" applyFill="1" applyBorder="1" applyAlignment="1">
      <alignment horizontal="center" vertical="center"/>
    </xf>
    <xf numFmtId="1" fontId="3" fillId="2" borderId="1" xfId="0" applyNumberFormat="1" applyFont="1" applyFill="1" applyBorder="1" applyAlignment="1">
      <alignment horizontal="center" vertical="center"/>
    </xf>
    <xf numFmtId="0" fontId="2" fillId="0" borderId="0" xfId="0" applyFont="1" applyAlignment="1">
      <alignment horizontal="center" vertical="center"/>
    </xf>
    <xf numFmtId="0" fontId="4" fillId="0" borderId="0" xfId="0" applyFont="1" applyAlignment="1">
      <alignment horizontal="center" vertical="center"/>
    </xf>
    <xf numFmtId="0" fontId="0" fillId="2" borderId="1" xfId="0" applyFill="1" applyBorder="1" applyAlignment="1">
      <alignment vertical="center"/>
    </xf>
    <xf numFmtId="0" fontId="0" fillId="2" borderId="1" xfId="0" applyFill="1" applyBorder="1" applyAlignment="1">
      <alignment horizontal="center" vertical="center"/>
    </xf>
    <xf numFmtId="0" fontId="0" fillId="0" borderId="1" xfId="0" applyBorder="1" applyAlignment="1">
      <alignment vertical="center"/>
    </xf>
    <xf numFmtId="0" fontId="0" fillId="0" borderId="2" xfId="0" applyBorder="1" applyAlignment="1">
      <alignment vertical="center"/>
    </xf>
    <xf numFmtId="0" fontId="0" fillId="2" borderId="2" xfId="0" applyFill="1" applyBorder="1" applyAlignment="1">
      <alignment vertical="center"/>
    </xf>
    <xf numFmtId="1" fontId="2" fillId="0" borderId="1" xfId="0" applyNumberFormat="1" applyFont="1" applyBorder="1" applyAlignment="1">
      <alignment horizontal="left" vertical="top" wrapText="1"/>
    </xf>
    <xf numFmtId="1" fontId="3" fillId="0" borderId="1" xfId="0" applyNumberFormat="1" applyFont="1" applyBorder="1" applyAlignment="1">
      <alignment horizontal="left" vertical="top" wrapText="1"/>
    </xf>
    <xf numFmtId="0" fontId="2" fillId="0" borderId="1" xfId="0" applyFont="1" applyBorder="1" applyAlignment="1">
      <alignment horizontal="left" vertical="top" wrapText="1"/>
    </xf>
    <xf numFmtId="0" fontId="1" fillId="0" borderId="1" xfId="0" applyFont="1" applyBorder="1" applyAlignment="1">
      <alignment horizontal="left" vertical="top" wrapText="1"/>
    </xf>
    <xf numFmtId="1" fontId="3" fillId="2" borderId="1" xfId="0" applyNumberFormat="1" applyFont="1" applyFill="1" applyBorder="1" applyAlignment="1">
      <alignment horizontal="left" vertical="top"/>
    </xf>
    <xf numFmtId="0" fontId="2" fillId="2" borderId="1" xfId="0" applyFont="1" applyFill="1" applyBorder="1" applyAlignment="1">
      <alignment horizontal="left" vertical="top"/>
    </xf>
    <xf numFmtId="0" fontId="2" fillId="0" borderId="1" xfId="0" applyFont="1" applyBorder="1" applyAlignment="1">
      <alignment horizontal="left" vertical="top"/>
    </xf>
    <xf numFmtId="0" fontId="0" fillId="2" borderId="1" xfId="0" applyFill="1" applyBorder="1" applyAlignment="1">
      <alignment horizontal="left" vertical="top"/>
    </xf>
    <xf numFmtId="0" fontId="0" fillId="0" borderId="0" xfId="0" applyAlignment="1">
      <alignment horizontal="left" vertical="top"/>
    </xf>
    <xf numFmtId="0" fontId="5" fillId="3" borderId="1" xfId="0" applyFont="1" applyFill="1" applyBorder="1" applyAlignment="1">
      <alignment horizontal="center" vertical="center"/>
    </xf>
    <xf numFmtId="0" fontId="5" fillId="3" borderId="1" xfId="0" applyFont="1" applyFill="1" applyBorder="1" applyAlignment="1">
      <alignment horizontal="left" vertical="top"/>
    </xf>
    <xf numFmtId="0" fontId="2" fillId="4" borderId="1" xfId="0" applyFont="1" applyFill="1" applyBorder="1" applyAlignment="1">
      <alignment horizontal="center" vertical="center"/>
    </xf>
    <xf numFmtId="164" fontId="1" fillId="0" borderId="0" xfId="0" applyNumberFormat="1" applyFont="1" applyAlignment="1">
      <alignment horizontal="center"/>
    </xf>
    <xf numFmtId="0" fontId="1" fillId="0" borderId="0" xfId="0" applyFont="1" applyAlignment="1">
      <alignment horizontal="center"/>
    </xf>
    <xf numFmtId="0" fontId="1" fillId="0" borderId="0" xfId="0" applyFont="1"/>
    <xf numFmtId="0" fontId="6" fillId="5" borderId="3" xfId="0" applyFont="1" applyFill="1" applyBorder="1" applyAlignment="1">
      <alignment vertical="center" wrapText="1"/>
    </xf>
    <xf numFmtId="0" fontId="6" fillId="5" borderId="4" xfId="0" applyFont="1" applyFill="1" applyBorder="1" applyAlignment="1">
      <alignment vertical="center" wrapText="1"/>
    </xf>
    <xf numFmtId="0" fontId="6" fillId="5" borderId="4" xfId="0" applyFont="1" applyFill="1" applyBorder="1" applyAlignment="1">
      <alignment horizontal="center" vertical="center"/>
    </xf>
    <xf numFmtId="0" fontId="0" fillId="0" borderId="1" xfId="0" applyBorder="1" applyAlignment="1">
      <alignment wrapText="1"/>
    </xf>
    <xf numFmtId="0" fontId="1" fillId="0" borderId="1" xfId="0" applyFont="1" applyBorder="1"/>
    <xf numFmtId="0" fontId="7" fillId="0" borderId="1" xfId="0" applyFont="1" applyBorder="1" applyAlignment="1">
      <alignment horizontal="left" vertical="center" wrapText="1"/>
    </xf>
    <xf numFmtId="0" fontId="0" fillId="0" borderId="0" xfId="0" applyAlignment="1">
      <alignment wrapText="1"/>
    </xf>
    <xf numFmtId="0" fontId="7" fillId="0" borderId="3" xfId="0" applyFont="1" applyBorder="1" applyAlignment="1">
      <alignment horizontal="left" vertical="center" wrapText="1"/>
    </xf>
    <xf numFmtId="0" fontId="1" fillId="0" borderId="2" xfId="0" applyFont="1" applyBorder="1"/>
    <xf numFmtId="0" fontId="0" fillId="0" borderId="5" xfId="0" applyBorder="1" applyAlignment="1">
      <alignment wrapText="1"/>
    </xf>
    <xf numFmtId="0" fontId="7" fillId="0" borderId="5" xfId="0" applyFont="1" applyBorder="1" applyAlignment="1">
      <alignment horizontal="left" vertical="center" wrapText="1"/>
    </xf>
    <xf numFmtId="0" fontId="0" fillId="0" borderId="6" xfId="0" applyBorder="1" applyAlignment="1">
      <alignment wrapText="1"/>
    </xf>
    <xf numFmtId="0" fontId="1" fillId="0" borderId="7" xfId="0" applyFont="1" applyBorder="1"/>
    <xf numFmtId="0" fontId="7" fillId="0" borderId="0" xfId="0" applyFont="1" applyAlignment="1">
      <alignment vertical="center" wrapText="1"/>
    </xf>
    <xf numFmtId="0" fontId="7" fillId="0" borderId="0" xfId="0" applyFont="1" applyAlignment="1">
      <alignment horizontal="center" vertical="center" wrapText="1"/>
    </xf>
    <xf numFmtId="1" fontId="2" fillId="0" borderId="1" xfId="0" applyNumberFormat="1" applyFont="1" applyBorder="1" applyAlignment="1">
      <alignment horizontal="left" vertical="top"/>
    </xf>
    <xf numFmtId="0" fontId="1" fillId="0" borderId="1" xfId="0" applyFont="1" applyBorder="1" applyAlignment="1">
      <alignment horizontal="left" vertical="top"/>
    </xf>
    <xf numFmtId="0" fontId="1" fillId="0" borderId="0" xfId="0" applyFont="1" applyAlignment="1">
      <alignment vertical="top"/>
    </xf>
    <xf numFmtId="0" fontId="2" fillId="0" borderId="1" xfId="0" quotePrefix="1" applyFont="1" applyBorder="1" applyAlignment="1">
      <alignment horizontal="left" vertical="top"/>
    </xf>
    <xf numFmtId="0" fontId="2" fillId="0" borderId="8" xfId="0" applyFont="1" applyBorder="1" applyAlignment="1">
      <alignment horizontal="center" vertical="center"/>
    </xf>
    <xf numFmtId="17" fontId="0" fillId="0" borderId="0" xfId="0" applyNumberFormat="1" applyAlignment="1">
      <alignment vertical="center"/>
    </xf>
    <xf numFmtId="1" fontId="2" fillId="0" borderId="8" xfId="0" applyNumberFormat="1" applyFont="1" applyBorder="1" applyAlignment="1">
      <alignment horizontal="center" vertical="center"/>
    </xf>
    <xf numFmtId="1" fontId="1" fillId="0" borderId="1" xfId="0" applyNumberFormat="1" applyFont="1" applyBorder="1" applyAlignment="1">
      <alignment horizontal="left" vertical="top" wrapText="1"/>
    </xf>
    <xf numFmtId="16" fontId="0" fillId="0" borderId="0" xfId="0" applyNumberFormat="1" applyAlignment="1">
      <alignment vertical="center"/>
    </xf>
    <xf numFmtId="0" fontId="2" fillId="0" borderId="9" xfId="0" applyFont="1" applyBorder="1" applyAlignment="1">
      <alignment horizontal="center" vertical="center"/>
    </xf>
    <xf numFmtId="0" fontId="0" fillId="0" borderId="0" xfId="0" applyAlignment="1">
      <alignment horizontal="center" vertical="center"/>
    </xf>
    <xf numFmtId="0" fontId="8" fillId="0" borderId="10" xfId="0" applyFont="1" applyBorder="1" applyAlignment="1">
      <alignment horizontal="center" vertical="center"/>
    </xf>
    <xf numFmtId="0" fontId="9" fillId="0" borderId="0" xfId="0" applyFont="1" applyAlignment="1">
      <alignment vertical="center"/>
    </xf>
    <xf numFmtId="0" fontId="0" fillId="0" borderId="1" xfId="0" applyBorder="1"/>
    <xf numFmtId="0" fontId="1" fillId="0" borderId="0" xfId="0" applyFont="1" applyAlignment="1">
      <alignment vertical="top" wrapText="1"/>
    </xf>
    <xf numFmtId="0" fontId="0" fillId="0" borderId="0" xfId="0" applyAlignment="1">
      <alignment horizontal="left" vertical="top" wrapText="1"/>
    </xf>
    <xf numFmtId="0" fontId="10" fillId="0" borderId="0" xfId="0" applyFont="1"/>
    <xf numFmtId="0" fontId="10" fillId="0" borderId="0" xfId="0" applyFont="1" applyAlignment="1">
      <alignment vertical="center"/>
    </xf>
    <xf numFmtId="0" fontId="0" fillId="0" borderId="0" xfId="0" applyAlignment="1">
      <alignment vertical="top" wrapText="1"/>
    </xf>
    <xf numFmtId="0" fontId="3" fillId="0" borderId="1" xfId="0" applyFont="1" applyBorder="1"/>
    <xf numFmtId="0" fontId="3" fillId="0" borderId="1" xfId="0" applyFont="1" applyBorder="1" applyAlignment="1">
      <alignment wrapText="1"/>
    </xf>
    <xf numFmtId="0" fontId="7" fillId="0" borderId="0" xfId="0" applyFont="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94DC32-A4A0-4252-92CF-A3BD63294607}">
  <dimension ref="A1:N212"/>
  <sheetViews>
    <sheetView tabSelected="1" zoomScale="84" zoomScaleNormal="84" workbookViewId="0">
      <pane xSplit="2" ySplit="1" topLeftCell="D2" activePane="bottomRight" state="frozen"/>
      <selection pane="bottomRight" activeCell="E3" sqref="E3"/>
      <selection pane="bottomLeft" activeCell="A2" sqref="A2"/>
      <selection pane="topRight" activeCell="C1" sqref="C1"/>
    </sheetView>
  </sheetViews>
  <sheetFormatPr defaultColWidth="8.42578125" defaultRowHeight="15.75" customHeight="1"/>
  <cols>
    <col min="1" max="1" width="34" style="1" customWidth="1"/>
    <col min="2" max="2" width="5.85546875" style="1" bestFit="1" customWidth="1"/>
    <col min="3" max="3" width="9.42578125" style="1" customWidth="1"/>
    <col min="4" max="4" width="37.28515625" style="1" customWidth="1"/>
    <col min="5" max="5" width="198.140625" style="24" customWidth="1"/>
    <col min="6" max="6" width="11.140625" style="1" bestFit="1" customWidth="1"/>
    <col min="7" max="7" width="12.42578125" style="1" customWidth="1"/>
    <col min="8" max="8" width="8.42578125" style="1" bestFit="1" customWidth="1"/>
    <col min="9" max="10" width="6.42578125" style="1" bestFit="1" customWidth="1"/>
    <col min="11" max="11" width="7.42578125" style="1" bestFit="1" customWidth="1"/>
    <col min="12" max="13" width="8.42578125" style="1" bestFit="1" customWidth="1"/>
    <col min="14" max="14" width="6.42578125" style="1" bestFit="1" customWidth="1"/>
    <col min="15" max="16384" width="8.42578125" style="1"/>
  </cols>
  <sheetData>
    <row r="1" spans="1:14" customFormat="1" ht="15.75" customHeight="1">
      <c r="A1" s="25" t="s">
        <v>0</v>
      </c>
      <c r="B1" s="25" t="s">
        <v>1</v>
      </c>
      <c r="C1" s="25" t="s">
        <v>2</v>
      </c>
      <c r="D1" s="25" t="s">
        <v>3</v>
      </c>
      <c r="E1" s="26" t="s">
        <v>4</v>
      </c>
      <c r="F1" s="25" t="s">
        <v>5</v>
      </c>
    </row>
    <row r="2" spans="1:14" ht="15.75" customHeight="1">
      <c r="A2" s="2" t="s">
        <v>6</v>
      </c>
      <c r="B2" s="2" t="s">
        <v>7</v>
      </c>
      <c r="C2" s="2" t="str">
        <f>_xlfn.IFNA(VLOOKUP(B2,Metadata!$G$1:$H$8,2,),"-")</f>
        <v>0-2 yrs</v>
      </c>
      <c r="D2" s="3" t="str">
        <f>_xlfn.CONCAT(A2,"_",B2)</f>
        <v>SAP SD, LE_IS1</v>
      </c>
      <c r="E2" s="16" t="s">
        <v>8</v>
      </c>
      <c r="F2" s="4"/>
      <c r="G2" s="5"/>
      <c r="H2" s="6"/>
      <c r="I2" s="5"/>
      <c r="J2" s="5"/>
      <c r="K2" s="5"/>
      <c r="L2" s="5"/>
      <c r="M2" s="5"/>
      <c r="N2" s="5"/>
    </row>
    <row r="3" spans="1:14" ht="15.75" customHeight="1">
      <c r="A3" s="2" t="s">
        <v>6</v>
      </c>
      <c r="B3" s="2" t="s">
        <v>9</v>
      </c>
      <c r="C3" s="2" t="str">
        <f>_xlfn.IFNA(VLOOKUP(B3,Metadata!$G$1:$H$8,2,),"-")</f>
        <v>2-5 yrs</v>
      </c>
      <c r="D3" s="3" t="str">
        <f>_xlfn.CONCAT(A3,"_",B3)</f>
        <v>SAP SD, LE_IS2</v>
      </c>
      <c r="E3" s="16" t="s">
        <v>10</v>
      </c>
      <c r="F3" s="4"/>
      <c r="G3" s="5"/>
      <c r="H3" s="6"/>
      <c r="I3" s="5"/>
      <c r="J3" s="5"/>
      <c r="K3" s="5"/>
      <c r="L3" s="5"/>
      <c r="M3" s="5"/>
      <c r="N3" s="5"/>
    </row>
    <row r="4" spans="1:14" ht="15.75" customHeight="1">
      <c r="A4" s="2" t="s">
        <v>6</v>
      </c>
      <c r="B4" s="2" t="s">
        <v>11</v>
      </c>
      <c r="C4" s="2" t="str">
        <f>_xlfn.IFNA(VLOOKUP(B4,Metadata!$G$1:$H$8,2,),"-")</f>
        <v>5-7 yrs</v>
      </c>
      <c r="D4" s="3" t="str">
        <f>_xlfn.CONCAT(A4,"_",B4)</f>
        <v>SAP SD, LE_IS3</v>
      </c>
      <c r="E4" s="17" t="s">
        <v>12</v>
      </c>
      <c r="F4" s="4"/>
      <c r="G4" s="5"/>
      <c r="H4" s="6"/>
      <c r="I4" s="5"/>
      <c r="J4" s="5"/>
      <c r="K4" s="5"/>
      <c r="L4" s="5"/>
      <c r="M4" s="5"/>
      <c r="N4" s="5"/>
    </row>
    <row r="5" spans="1:14" ht="15.75" customHeight="1">
      <c r="A5" s="2" t="s">
        <v>6</v>
      </c>
      <c r="B5" s="2" t="s">
        <v>13</v>
      </c>
      <c r="C5" s="2" t="str">
        <f>_xlfn.IFNA(VLOOKUP(B5,Metadata!$G$1:$H$8,2,),"-")</f>
        <v>7-10 yrs</v>
      </c>
      <c r="D5" s="3" t="str">
        <f>_xlfn.CONCAT(A5,"_",B5)</f>
        <v>SAP SD, LE_IS4</v>
      </c>
      <c r="E5" s="16" t="s">
        <v>14</v>
      </c>
      <c r="F5" s="4"/>
      <c r="G5" s="5"/>
      <c r="H5" s="6"/>
      <c r="I5" s="5"/>
      <c r="J5" s="5"/>
      <c r="K5" s="5"/>
      <c r="L5" s="5"/>
      <c r="M5" s="5"/>
      <c r="N5" s="5"/>
    </row>
    <row r="6" spans="1:14" ht="15.75" customHeight="1">
      <c r="A6" s="7"/>
      <c r="B6" s="7"/>
      <c r="C6" s="7"/>
      <c r="D6" s="7"/>
      <c r="E6" s="20"/>
      <c r="F6" s="8"/>
      <c r="G6" s="5"/>
      <c r="H6" s="6"/>
      <c r="I6" s="5"/>
      <c r="J6" s="5"/>
      <c r="K6" s="5"/>
      <c r="L6" s="5"/>
      <c r="M6" s="5"/>
      <c r="N6" s="5"/>
    </row>
    <row r="7" spans="1:14" ht="15.75" customHeight="1">
      <c r="A7" s="2" t="s">
        <v>0</v>
      </c>
      <c r="B7" s="2" t="s">
        <v>7</v>
      </c>
      <c r="C7" s="2" t="str">
        <f>_xlfn.IFNA(VLOOKUP(B7,Metadata!$G$1:$H$8,2,),"-")</f>
        <v>0-2 yrs</v>
      </c>
      <c r="D7" s="3" t="str">
        <f>_xlfn.CONCAT(A7,"_",B7)</f>
        <v>MM, WM + SRM_IS1</v>
      </c>
      <c r="E7" s="18" t="s">
        <v>15</v>
      </c>
      <c r="F7" s="2"/>
      <c r="G7" s="9"/>
      <c r="H7" s="6"/>
      <c r="I7" s="5"/>
      <c r="J7" s="5"/>
      <c r="K7" s="5"/>
      <c r="L7" s="5"/>
      <c r="M7" s="5"/>
      <c r="N7" s="5"/>
    </row>
    <row r="8" spans="1:14" ht="15.75" customHeight="1">
      <c r="A8" s="2" t="s">
        <v>0</v>
      </c>
      <c r="B8" s="2" t="s">
        <v>9</v>
      </c>
      <c r="C8" s="2" t="str">
        <f>_xlfn.IFNA(VLOOKUP(B8,Metadata!$G$1:$H$8,2,),"-")</f>
        <v>2-5 yrs</v>
      </c>
      <c r="D8" s="3" t="str">
        <f>_xlfn.CONCAT(A8,"_",B8)</f>
        <v>MM, WM + SRM_IS2</v>
      </c>
      <c r="E8" s="18" t="s">
        <v>15</v>
      </c>
      <c r="F8" s="2"/>
      <c r="G8" s="9"/>
      <c r="H8" s="6"/>
      <c r="I8" s="5"/>
      <c r="J8" s="5"/>
      <c r="K8" s="5"/>
      <c r="L8" s="5"/>
      <c r="M8" s="5"/>
      <c r="N8" s="5"/>
    </row>
    <row r="9" spans="1:14" ht="15.75" customHeight="1">
      <c r="A9" s="2" t="s">
        <v>0</v>
      </c>
      <c r="B9" s="2" t="s">
        <v>11</v>
      </c>
      <c r="C9" s="2" t="str">
        <f>_xlfn.IFNA(VLOOKUP(B9,Metadata!$G$1:$H$8,2,),"-")</f>
        <v>5-7 yrs</v>
      </c>
      <c r="D9" s="3" t="str">
        <f>_xlfn.CONCAT(A9,"_",B9)</f>
        <v>MM, WM + SRM_IS3</v>
      </c>
      <c r="E9" s="18" t="s">
        <v>16</v>
      </c>
      <c r="F9" s="2"/>
      <c r="G9" s="9"/>
      <c r="H9" s="6"/>
      <c r="I9" s="5"/>
      <c r="J9" s="5"/>
      <c r="K9" s="5"/>
      <c r="L9" s="5"/>
      <c r="M9" s="5"/>
      <c r="N9" s="5"/>
    </row>
    <row r="10" spans="1:14" ht="15.75" customHeight="1">
      <c r="A10" s="2" t="s">
        <v>0</v>
      </c>
      <c r="B10" s="2" t="s">
        <v>13</v>
      </c>
      <c r="C10" s="2" t="str">
        <f>_xlfn.IFNA(VLOOKUP(B10,Metadata!$G$1:$H$8,2,),"-")</f>
        <v>7-10 yrs</v>
      </c>
      <c r="D10" s="3" t="str">
        <f>_xlfn.CONCAT(A10,"_",B10)</f>
        <v>MM, WM + SRM_IS4</v>
      </c>
      <c r="E10" s="22" t="s">
        <v>17</v>
      </c>
      <c r="F10" s="2"/>
      <c r="G10" s="9"/>
      <c r="H10" s="6"/>
      <c r="I10" s="5"/>
      <c r="J10" s="5"/>
      <c r="K10" s="5"/>
      <c r="L10" s="5"/>
      <c r="M10" s="5"/>
      <c r="N10" s="5"/>
    </row>
    <row r="11" spans="1:14" ht="15.75" customHeight="1">
      <c r="A11" s="2" t="s">
        <v>0</v>
      </c>
      <c r="B11" s="2" t="s">
        <v>18</v>
      </c>
      <c r="C11" s="2" t="str">
        <f>_xlfn.IFNA(VLOOKUP(B11,Metadata!$G$1:$H$8,2,),"-")</f>
        <v>10-15 yrs</v>
      </c>
      <c r="D11" s="3" t="str">
        <f>_xlfn.CONCAT(A11,"_",B11)</f>
        <v>MM, WM + SRM_IS5</v>
      </c>
      <c r="E11" s="22" t="s">
        <v>19</v>
      </c>
      <c r="F11" s="2"/>
      <c r="G11" s="9"/>
      <c r="H11" s="6"/>
      <c r="I11" s="5"/>
      <c r="J11" s="5"/>
      <c r="K11" s="5"/>
      <c r="L11" s="5"/>
      <c r="M11" s="5"/>
      <c r="N11" s="5"/>
    </row>
    <row r="12" spans="1:14" ht="15.75" customHeight="1">
      <c r="A12" s="7"/>
      <c r="B12" s="7"/>
      <c r="C12" s="7"/>
      <c r="D12" s="3"/>
      <c r="E12" s="20"/>
      <c r="F12" s="8"/>
      <c r="G12" s="9"/>
      <c r="H12" s="6"/>
      <c r="I12" s="5"/>
      <c r="J12" s="5"/>
      <c r="K12" s="5"/>
      <c r="L12" s="5"/>
      <c r="M12" s="5"/>
      <c r="N12" s="5"/>
    </row>
    <row r="13" spans="1:14" ht="15.75" customHeight="1">
      <c r="A13" s="2" t="s">
        <v>20</v>
      </c>
      <c r="B13" s="2" t="s">
        <v>7</v>
      </c>
      <c r="C13" s="2" t="str">
        <f>_xlfn.IFNA(VLOOKUP(B13,Metadata!$G$1:$H$8,2,),"-")</f>
        <v>0-2 yrs</v>
      </c>
      <c r="D13" s="3" t="str">
        <f>_xlfn.CONCAT(A13,"_",B13)</f>
        <v>FI, CO_IS1</v>
      </c>
      <c r="E13" s="18" t="s">
        <v>21</v>
      </c>
      <c r="F13" s="2"/>
      <c r="G13" s="9"/>
      <c r="H13" s="6"/>
      <c r="I13" s="5"/>
      <c r="J13" s="5"/>
      <c r="K13" s="5"/>
      <c r="L13" s="5"/>
      <c r="M13" s="5"/>
      <c r="N13" s="5"/>
    </row>
    <row r="14" spans="1:14" ht="15.75" customHeight="1">
      <c r="A14" s="2" t="s">
        <v>20</v>
      </c>
      <c r="B14" s="2" t="s">
        <v>9</v>
      </c>
      <c r="C14" s="2" t="str">
        <f>_xlfn.IFNA(VLOOKUP(B14,Metadata!$G$1:$H$8,2,),"-")</f>
        <v>2-5 yrs</v>
      </c>
      <c r="D14" s="3" t="str">
        <f>_xlfn.CONCAT(A14,"_",B14)</f>
        <v>FI, CO_IS2</v>
      </c>
      <c r="E14" s="22" t="s">
        <v>22</v>
      </c>
      <c r="F14" s="2"/>
      <c r="G14" s="9"/>
      <c r="H14" s="6"/>
      <c r="I14" s="5"/>
      <c r="J14" s="5"/>
      <c r="K14" s="5"/>
      <c r="L14" s="5"/>
      <c r="M14" s="5"/>
      <c r="N14" s="5"/>
    </row>
    <row r="15" spans="1:14" ht="15.75" customHeight="1">
      <c r="A15" s="2" t="s">
        <v>20</v>
      </c>
      <c r="B15" s="2" t="s">
        <v>11</v>
      </c>
      <c r="C15" s="2" t="str">
        <f>_xlfn.IFNA(VLOOKUP(B15,Metadata!$G$1:$H$8,2,),"-")</f>
        <v>5-7 yrs</v>
      </c>
      <c r="D15" s="3" t="str">
        <f>_xlfn.CONCAT(A15,"_",B15)</f>
        <v>FI, CO_IS3</v>
      </c>
      <c r="E15" s="18" t="s">
        <v>23</v>
      </c>
      <c r="F15" s="2"/>
      <c r="G15" s="9"/>
      <c r="H15" s="6"/>
      <c r="I15" s="5"/>
      <c r="J15" s="5"/>
      <c r="K15" s="5"/>
      <c r="L15" s="5"/>
      <c r="M15" s="5"/>
      <c r="N15" s="5"/>
    </row>
    <row r="16" spans="1:14" ht="15.75" customHeight="1">
      <c r="A16" s="2" t="s">
        <v>20</v>
      </c>
      <c r="B16" s="2" t="s">
        <v>13</v>
      </c>
      <c r="C16" s="2" t="str">
        <f>_xlfn.IFNA(VLOOKUP(B16,Metadata!$G$1:$H$8,2,),"-")</f>
        <v>7-10 yrs</v>
      </c>
      <c r="D16" s="3" t="str">
        <f>_xlfn.CONCAT(A16,"_",B16)</f>
        <v>FI, CO_IS4</v>
      </c>
      <c r="E16" s="18" t="s">
        <v>24</v>
      </c>
      <c r="F16" s="2"/>
      <c r="G16" s="9"/>
      <c r="H16" s="6"/>
      <c r="I16" s="5"/>
      <c r="J16" s="5"/>
      <c r="K16" s="5"/>
      <c r="L16" s="5"/>
      <c r="M16" s="5"/>
      <c r="N16" s="5"/>
    </row>
    <row r="17" spans="1:14" ht="15.75" customHeight="1">
      <c r="A17" s="2" t="s">
        <v>20</v>
      </c>
      <c r="B17" s="2" t="s">
        <v>18</v>
      </c>
      <c r="C17" s="2" t="str">
        <f>_xlfn.IFNA(VLOOKUP(B17,Metadata!$G$1:$H$8,2,),"-")</f>
        <v>10-15 yrs</v>
      </c>
      <c r="D17" s="3" t="str">
        <f>_xlfn.CONCAT(A17,"_",B17)</f>
        <v>FI, CO_IS5</v>
      </c>
      <c r="E17" s="22" t="s">
        <v>25</v>
      </c>
      <c r="F17" s="2"/>
      <c r="G17" s="9"/>
      <c r="H17" s="6"/>
      <c r="I17" s="5"/>
      <c r="J17" s="5"/>
      <c r="K17" s="5"/>
      <c r="L17" s="5"/>
      <c r="M17" s="5"/>
      <c r="N17" s="5"/>
    </row>
    <row r="18" spans="1:14" ht="15.75" customHeight="1">
      <c r="A18" s="7"/>
      <c r="B18" s="7"/>
      <c r="C18" s="7"/>
      <c r="D18" s="3"/>
      <c r="E18" s="20"/>
      <c r="F18" s="8"/>
      <c r="G18" s="9"/>
      <c r="H18" s="6"/>
      <c r="I18" s="5"/>
      <c r="J18" s="5"/>
      <c r="K18" s="5"/>
      <c r="L18" s="5"/>
      <c r="M18" s="5"/>
      <c r="N18" s="5"/>
    </row>
    <row r="19" spans="1:14" ht="15.75" customHeight="1">
      <c r="A19" s="2" t="s">
        <v>26</v>
      </c>
      <c r="B19" s="2" t="s">
        <v>9</v>
      </c>
      <c r="C19" s="2" t="str">
        <f>_xlfn.IFNA(VLOOKUP(B19,Metadata!$G$1:$H$8,2,),"-")</f>
        <v>2-5 yrs</v>
      </c>
      <c r="D19" s="3" t="str">
        <f>_xlfn.CONCAT(A19,"_",B19)</f>
        <v>FI+TRM Finance_IS2</v>
      </c>
      <c r="E19" s="22" t="s">
        <v>22</v>
      </c>
      <c r="F19" s="2"/>
      <c r="G19" s="9"/>
      <c r="H19" s="6"/>
      <c r="I19" s="5"/>
      <c r="J19" s="5"/>
      <c r="K19" s="5"/>
      <c r="L19" s="5"/>
      <c r="M19" s="5"/>
      <c r="N19" s="5"/>
    </row>
    <row r="20" spans="1:14" ht="15.75" customHeight="1">
      <c r="A20" s="2" t="s">
        <v>26</v>
      </c>
      <c r="B20" s="2" t="s">
        <v>11</v>
      </c>
      <c r="C20" s="2" t="str">
        <f>_xlfn.IFNA(VLOOKUP(B20,Metadata!$G$1:$H$8,2,),"-")</f>
        <v>5-7 yrs</v>
      </c>
      <c r="D20" s="3" t="str">
        <f>_xlfn.CONCAT(A20,"_",B20)</f>
        <v>FI+TRM Finance_IS3</v>
      </c>
      <c r="E20" s="22" t="s">
        <v>23</v>
      </c>
      <c r="F20" s="2"/>
      <c r="G20" s="9"/>
      <c r="H20" s="6"/>
      <c r="I20" s="5"/>
      <c r="J20" s="5"/>
      <c r="K20" s="5"/>
      <c r="L20" s="5"/>
      <c r="M20" s="5"/>
      <c r="N20" s="5"/>
    </row>
    <row r="21" spans="1:14" ht="14.45">
      <c r="A21" s="2" t="s">
        <v>26</v>
      </c>
      <c r="B21" s="2" t="s">
        <v>13</v>
      </c>
      <c r="C21" s="2" t="str">
        <f>_xlfn.IFNA(VLOOKUP(B21,Metadata!$G$1:$H$8,2,),"-")</f>
        <v>7-10 yrs</v>
      </c>
      <c r="D21" s="3" t="str">
        <f>_xlfn.CONCAT(A21,"_",B21)</f>
        <v>FI+TRM Finance_IS4</v>
      </c>
      <c r="E21" s="22" t="s">
        <v>27</v>
      </c>
      <c r="F21" s="2"/>
      <c r="G21" s="9"/>
      <c r="H21" s="6"/>
      <c r="I21" s="5"/>
      <c r="J21" s="5"/>
      <c r="K21" s="5"/>
      <c r="L21" s="5"/>
      <c r="M21" s="5"/>
      <c r="N21" s="5"/>
    </row>
    <row r="22" spans="1:14" ht="15.75" customHeight="1">
      <c r="A22" s="7"/>
      <c r="B22" s="7"/>
      <c r="C22" s="7"/>
      <c r="D22" s="3"/>
      <c r="E22" s="20"/>
      <c r="F22" s="8"/>
      <c r="G22" s="9"/>
      <c r="H22" s="6"/>
      <c r="I22" s="5"/>
      <c r="J22" s="5"/>
      <c r="K22" s="5"/>
      <c r="L22" s="5"/>
      <c r="M22" s="5"/>
      <c r="N22" s="5"/>
    </row>
    <row r="23" spans="1:14" ht="15.75" customHeight="1">
      <c r="A23" s="2" t="s">
        <v>28</v>
      </c>
      <c r="B23" s="2" t="s">
        <v>9</v>
      </c>
      <c r="C23" s="2" t="str">
        <f>_xlfn.IFNA(VLOOKUP(B23,Metadata!$G$1:$H$8,2,),"-")</f>
        <v>2-5 yrs</v>
      </c>
      <c r="D23" s="3" t="str">
        <f>_xlfn.CONCAT(A23,"_",B23)</f>
        <v>PP_IS2</v>
      </c>
      <c r="E23" s="22" t="s">
        <v>29</v>
      </c>
      <c r="F23" s="2"/>
      <c r="G23" s="9"/>
      <c r="H23" s="6"/>
      <c r="I23" s="5"/>
      <c r="J23" s="5"/>
      <c r="K23" s="5"/>
      <c r="L23" s="5"/>
      <c r="M23" s="5"/>
      <c r="N23" s="5"/>
    </row>
    <row r="24" spans="1:14" ht="15.75" customHeight="1">
      <c r="A24" s="2" t="s">
        <v>28</v>
      </c>
      <c r="B24" s="2" t="s">
        <v>11</v>
      </c>
      <c r="C24" s="2" t="str">
        <f>_xlfn.IFNA(VLOOKUP(B24,Metadata!$G$1:$H$8,2,),"-")</f>
        <v>5-7 yrs</v>
      </c>
      <c r="D24" s="3" t="str">
        <f>_xlfn.CONCAT(A24,"_",B24)</f>
        <v>PP_IS3</v>
      </c>
      <c r="E24" s="22" t="s">
        <v>30</v>
      </c>
      <c r="F24" s="2"/>
      <c r="G24" s="9"/>
      <c r="H24" s="6"/>
      <c r="I24" s="5"/>
      <c r="J24" s="5"/>
      <c r="K24" s="5"/>
      <c r="L24" s="5"/>
      <c r="M24" s="5"/>
      <c r="N24" s="5"/>
    </row>
    <row r="25" spans="1:14" ht="15.75" customHeight="1">
      <c r="A25" s="7"/>
      <c r="B25" s="7"/>
      <c r="C25" s="7"/>
      <c r="D25" s="3"/>
      <c r="E25" s="21"/>
      <c r="F25" s="7"/>
      <c r="G25" s="9"/>
      <c r="H25" s="6"/>
      <c r="I25" s="5"/>
      <c r="J25" s="5"/>
      <c r="K25" s="5"/>
      <c r="L25" s="5"/>
      <c r="M25" s="5"/>
      <c r="N25" s="5"/>
    </row>
    <row r="26" spans="1:14" ht="15.75" customHeight="1">
      <c r="A26" s="2" t="s">
        <v>31</v>
      </c>
      <c r="B26" s="2" t="s">
        <v>11</v>
      </c>
      <c r="C26" s="2" t="str">
        <f>_xlfn.IFNA(VLOOKUP(B26,Metadata!$G$1:$H$8,2,),"-")</f>
        <v>5-7 yrs</v>
      </c>
      <c r="D26" s="3" t="str">
        <f>_xlfn.CONCAT(A26,"_",B26)</f>
        <v>QM_IS3</v>
      </c>
      <c r="E26" s="22" t="s">
        <v>30</v>
      </c>
      <c r="F26" s="2"/>
      <c r="G26" s="9"/>
      <c r="H26" s="6"/>
      <c r="I26" s="5"/>
      <c r="J26" s="5"/>
      <c r="K26" s="5"/>
      <c r="L26" s="5"/>
      <c r="M26" s="5"/>
      <c r="N26" s="5"/>
    </row>
    <row r="27" spans="1:14" ht="15.75" customHeight="1">
      <c r="A27" s="7"/>
      <c r="B27" s="7"/>
      <c r="C27" s="7"/>
      <c r="D27" s="3"/>
      <c r="E27" s="21"/>
      <c r="F27" s="7"/>
      <c r="G27" s="9"/>
      <c r="H27" s="6"/>
      <c r="I27" s="5"/>
      <c r="J27" s="5"/>
      <c r="K27" s="5"/>
      <c r="L27" s="5"/>
      <c r="M27" s="5"/>
      <c r="N27" s="5"/>
    </row>
    <row r="28" spans="1:14" ht="15.75" customHeight="1">
      <c r="A28" s="2" t="s">
        <v>32</v>
      </c>
      <c r="B28" s="2" t="s">
        <v>9</v>
      </c>
      <c r="C28" s="2" t="str">
        <f>_xlfn.IFNA(VLOOKUP(B28,Metadata!$G$1:$H$8,2,),"-")</f>
        <v>2-5 yrs</v>
      </c>
      <c r="D28" s="3" t="str">
        <f>_xlfn.CONCAT(A28,"_",B28)</f>
        <v>PM_IS2</v>
      </c>
      <c r="E28" s="22" t="s">
        <v>29</v>
      </c>
      <c r="F28" s="2"/>
      <c r="G28" s="9"/>
      <c r="H28" s="6"/>
      <c r="I28" s="5"/>
      <c r="J28" s="5"/>
      <c r="K28" s="5"/>
      <c r="L28" s="5"/>
      <c r="M28" s="5"/>
      <c r="N28" s="5"/>
    </row>
    <row r="29" spans="1:14" ht="15.75" customHeight="1">
      <c r="A29" s="2" t="s">
        <v>32</v>
      </c>
      <c r="B29" s="2" t="s">
        <v>11</v>
      </c>
      <c r="C29" s="2" t="str">
        <f>_xlfn.IFNA(VLOOKUP(B29,Metadata!$G$1:$H$8,2,),"-")</f>
        <v>5-7 yrs</v>
      </c>
      <c r="D29" s="3" t="str">
        <f>_xlfn.CONCAT(A29,"_",B29)</f>
        <v>PM_IS3</v>
      </c>
      <c r="E29" s="22" t="s">
        <v>30</v>
      </c>
      <c r="F29" s="2"/>
      <c r="G29" s="9"/>
      <c r="H29" s="6"/>
      <c r="I29" s="5"/>
      <c r="J29" s="5"/>
      <c r="K29" s="5"/>
      <c r="L29" s="5"/>
      <c r="M29" s="5"/>
      <c r="N29" s="5"/>
    </row>
    <row r="30" spans="1:14" ht="15.75" customHeight="1">
      <c r="A30" s="7"/>
      <c r="B30" s="7"/>
      <c r="C30" s="7"/>
      <c r="D30" s="3"/>
      <c r="E30" s="21"/>
      <c r="F30" s="7"/>
      <c r="G30" s="9"/>
      <c r="H30" s="6"/>
      <c r="I30" s="5"/>
      <c r="J30" s="5"/>
      <c r="K30" s="5"/>
      <c r="L30" s="5"/>
      <c r="M30" s="5"/>
      <c r="N30" s="5"/>
    </row>
    <row r="31" spans="1:14" ht="15.75" customHeight="1">
      <c r="A31" s="2" t="s">
        <v>33</v>
      </c>
      <c r="B31" s="2" t="s">
        <v>11</v>
      </c>
      <c r="C31" s="2" t="str">
        <f>_xlfn.IFNA(VLOOKUP(B31,Metadata!$G$1:$H$8,2,),"-")</f>
        <v>5-7 yrs</v>
      </c>
      <c r="D31" s="3" t="str">
        <f>_xlfn.CONCAT(A31,"_",B31)</f>
        <v>Excise Duty - FI (custom development)_IS3</v>
      </c>
      <c r="E31" s="22" t="s">
        <v>23</v>
      </c>
      <c r="F31" s="2"/>
      <c r="G31" s="9"/>
      <c r="H31" s="6"/>
      <c r="I31" s="5"/>
      <c r="J31" s="5"/>
      <c r="K31" s="5"/>
      <c r="L31" s="5"/>
      <c r="M31" s="5"/>
      <c r="N31" s="5"/>
    </row>
    <row r="32" spans="1:14" ht="15.75" customHeight="1">
      <c r="A32" s="7"/>
      <c r="B32" s="7"/>
      <c r="C32" s="7"/>
      <c r="D32" s="3"/>
      <c r="E32" s="21"/>
      <c r="F32" s="7"/>
      <c r="G32" s="9"/>
      <c r="H32" s="6"/>
      <c r="I32" s="5"/>
      <c r="J32" s="5"/>
      <c r="K32" s="5"/>
      <c r="L32" s="5"/>
      <c r="M32" s="5"/>
      <c r="N32" s="5"/>
    </row>
    <row r="33" spans="1:14" ht="15.75" customHeight="1">
      <c r="A33" s="2" t="s">
        <v>34</v>
      </c>
      <c r="B33" s="2" t="s">
        <v>9</v>
      </c>
      <c r="C33" s="2" t="str">
        <f>_xlfn.IFNA(VLOOKUP(B33,Metadata!$G$1:$H$8,2,),"-")</f>
        <v>2-5 yrs</v>
      </c>
      <c r="D33" s="3" t="str">
        <f>_xlfn.CONCAT(A33,"_",B33)</f>
        <v>Recipe Mgmt - PP (custom development)_IS2</v>
      </c>
      <c r="E33" s="22" t="s">
        <v>35</v>
      </c>
      <c r="F33" s="2"/>
      <c r="G33" s="9"/>
      <c r="H33" s="6"/>
      <c r="I33" s="5"/>
      <c r="J33" s="5"/>
      <c r="K33" s="5"/>
      <c r="L33" s="5"/>
      <c r="M33" s="5"/>
      <c r="N33" s="5"/>
    </row>
    <row r="34" spans="1:14" ht="15.75" customHeight="1">
      <c r="A34" s="2" t="s">
        <v>34</v>
      </c>
      <c r="B34" s="2" t="s">
        <v>11</v>
      </c>
      <c r="C34" s="2" t="str">
        <f>_xlfn.IFNA(VLOOKUP(B34,Metadata!$G$1:$H$8,2,),"-")</f>
        <v>5-7 yrs</v>
      </c>
      <c r="D34" s="3" t="str">
        <f>_xlfn.CONCAT(A34,"_",B34)</f>
        <v>Recipe Mgmt - PP (custom development)_IS3</v>
      </c>
      <c r="E34" s="22" t="s">
        <v>36</v>
      </c>
      <c r="F34" s="2"/>
      <c r="G34" s="9"/>
      <c r="H34" s="6"/>
      <c r="I34" s="5"/>
      <c r="J34" s="5"/>
      <c r="K34" s="5"/>
      <c r="L34" s="5"/>
      <c r="M34" s="5"/>
      <c r="N34" s="5"/>
    </row>
    <row r="35" spans="1:14" ht="15.75" customHeight="1">
      <c r="A35" s="7"/>
      <c r="B35" s="7"/>
      <c r="C35" s="7"/>
      <c r="D35" s="3"/>
      <c r="E35" s="21"/>
      <c r="F35" s="7"/>
      <c r="G35" s="9"/>
      <c r="H35" s="6"/>
      <c r="I35" s="5"/>
      <c r="J35" s="5"/>
      <c r="K35" s="5"/>
      <c r="L35" s="5"/>
      <c r="M35" s="5"/>
      <c r="N35" s="5"/>
    </row>
    <row r="36" spans="1:14" ht="15.75" customHeight="1">
      <c r="A36" s="2" t="s">
        <v>37</v>
      </c>
      <c r="B36" s="2" t="s">
        <v>7</v>
      </c>
      <c r="C36" s="2" t="str">
        <f>_xlfn.IFNA(VLOOKUP(B36,Metadata!$G$1:$H$8,2,),"-")</f>
        <v>0-2 yrs</v>
      </c>
      <c r="D36" s="3" t="str">
        <f>_xlfn.CONCAT(A36,"_",B36)</f>
        <v>FSCM (TRM Finance)_IS1</v>
      </c>
      <c r="E36" s="22" t="s">
        <v>21</v>
      </c>
      <c r="F36" s="2"/>
      <c r="G36" s="9"/>
      <c r="H36" s="10"/>
      <c r="I36" s="5"/>
      <c r="J36" s="5"/>
      <c r="K36" s="5"/>
      <c r="L36" s="5"/>
      <c r="M36" s="5"/>
      <c r="N36" s="5"/>
    </row>
    <row r="37" spans="1:14" ht="15.75" customHeight="1">
      <c r="A37" s="2" t="s">
        <v>37</v>
      </c>
      <c r="B37" s="2" t="s">
        <v>9</v>
      </c>
      <c r="C37" s="2" t="str">
        <f>_xlfn.IFNA(VLOOKUP(B37,Metadata!$G$1:$H$8,2,),"-")</f>
        <v>2-5 yrs</v>
      </c>
      <c r="D37" s="3" t="str">
        <f>_xlfn.CONCAT(A37,"_",B37)</f>
        <v>FSCM (TRM Finance)_IS2</v>
      </c>
      <c r="E37" s="22" t="s">
        <v>22</v>
      </c>
      <c r="F37" s="2"/>
      <c r="G37" s="9"/>
      <c r="H37" s="10"/>
      <c r="I37" s="5"/>
      <c r="J37" s="5"/>
      <c r="K37" s="5"/>
      <c r="L37" s="5"/>
      <c r="M37" s="5"/>
      <c r="N37" s="5"/>
    </row>
    <row r="38" spans="1:14" ht="15.75" customHeight="1">
      <c r="A38" s="2" t="s">
        <v>37</v>
      </c>
      <c r="B38" s="2" t="s">
        <v>11</v>
      </c>
      <c r="C38" s="2" t="str">
        <f>_xlfn.IFNA(VLOOKUP(B38,Metadata!$G$1:$H$8,2,),"-")</f>
        <v>5-7 yrs</v>
      </c>
      <c r="D38" s="3" t="str">
        <f>_xlfn.CONCAT(A38,"_",B38)</f>
        <v>FSCM (TRM Finance)_IS3</v>
      </c>
      <c r="E38" s="22" t="s">
        <v>23</v>
      </c>
      <c r="F38" s="2"/>
      <c r="G38" s="9"/>
      <c r="H38" s="10"/>
      <c r="I38" s="5"/>
      <c r="J38" s="5"/>
      <c r="K38" s="5"/>
      <c r="L38" s="5"/>
      <c r="M38" s="5"/>
      <c r="N38" s="5"/>
    </row>
    <row r="39" spans="1:14" ht="15.75" customHeight="1">
      <c r="A39" s="2" t="s">
        <v>37</v>
      </c>
      <c r="B39" s="2" t="s">
        <v>13</v>
      </c>
      <c r="C39" s="2" t="str">
        <f>_xlfn.IFNA(VLOOKUP(B39,Metadata!$G$1:$H$8,2,),"-")</f>
        <v>7-10 yrs</v>
      </c>
      <c r="D39" s="3" t="str">
        <f>_xlfn.CONCAT(A39,"_",B39)</f>
        <v>FSCM (TRM Finance)_IS4</v>
      </c>
      <c r="E39" s="22" t="s">
        <v>24</v>
      </c>
      <c r="F39" s="2"/>
      <c r="G39" s="9"/>
      <c r="H39" s="10"/>
      <c r="I39" s="5"/>
      <c r="J39" s="5"/>
      <c r="K39" s="5"/>
      <c r="L39" s="5"/>
      <c r="M39" s="5"/>
      <c r="N39" s="5"/>
    </row>
    <row r="40" spans="1:14" ht="15.75" customHeight="1">
      <c r="A40" s="7"/>
      <c r="B40" s="7"/>
      <c r="C40" s="7"/>
      <c r="D40" s="3"/>
      <c r="E40" s="21"/>
      <c r="F40" s="7"/>
      <c r="G40" s="9"/>
      <c r="H40" s="10"/>
      <c r="I40" s="5"/>
      <c r="J40" s="5"/>
      <c r="K40" s="5"/>
      <c r="L40" s="5"/>
      <c r="M40" s="5"/>
      <c r="N40" s="5"/>
    </row>
    <row r="41" spans="1:14" ht="15.75" customHeight="1">
      <c r="A41" s="2" t="s">
        <v>38</v>
      </c>
      <c r="B41" s="2" t="s">
        <v>7</v>
      </c>
      <c r="C41" s="2" t="str">
        <f>_xlfn.IFNA(VLOOKUP(B41,Metadata!$G$1:$H$8,2,),"-")</f>
        <v>0-2 yrs</v>
      </c>
      <c r="D41" s="3" t="str">
        <f t="shared" ref="D41:D46" si="0">_xlfn.CONCAT(A41,"_",B41)</f>
        <v>ABAP_IS1</v>
      </c>
      <c r="E41" s="22" t="s">
        <v>39</v>
      </c>
      <c r="F41" s="2"/>
      <c r="G41" s="9"/>
      <c r="H41" s="6"/>
      <c r="I41" s="5"/>
      <c r="J41" s="5"/>
      <c r="K41" s="5"/>
      <c r="L41" s="5"/>
      <c r="M41" s="5"/>
      <c r="N41" s="5"/>
    </row>
    <row r="42" spans="1:14" ht="15.75" customHeight="1">
      <c r="A42" s="2" t="s">
        <v>38</v>
      </c>
      <c r="B42" s="2" t="s">
        <v>9</v>
      </c>
      <c r="C42" s="2" t="str">
        <f>_xlfn.IFNA(VLOOKUP(B42,Metadata!$G$1:$H$8,2,),"-")</f>
        <v>2-5 yrs</v>
      </c>
      <c r="D42" s="3" t="str">
        <f t="shared" si="0"/>
        <v>ABAP_IS2</v>
      </c>
      <c r="E42" s="22" t="s">
        <v>40</v>
      </c>
      <c r="F42" s="2"/>
      <c r="G42" s="9"/>
      <c r="H42" s="6"/>
      <c r="I42" s="5"/>
      <c r="J42" s="5"/>
      <c r="K42" s="5"/>
      <c r="L42" s="5"/>
      <c r="M42" s="5"/>
      <c r="N42" s="5"/>
    </row>
    <row r="43" spans="1:14" ht="15.75" customHeight="1">
      <c r="A43" s="2" t="s">
        <v>38</v>
      </c>
      <c r="B43" s="2" t="s">
        <v>11</v>
      </c>
      <c r="C43" s="2" t="str">
        <f>_xlfn.IFNA(VLOOKUP(B43,Metadata!$G$1:$H$8,2,),"-")</f>
        <v>5-7 yrs</v>
      </c>
      <c r="D43" s="3" t="str">
        <f t="shared" si="0"/>
        <v>ABAP_IS3</v>
      </c>
      <c r="E43" s="18" t="s">
        <v>41</v>
      </c>
      <c r="F43" s="2"/>
      <c r="G43" s="9"/>
      <c r="H43" s="6"/>
      <c r="I43" s="5"/>
      <c r="J43" s="5"/>
      <c r="K43" s="5"/>
      <c r="L43" s="5"/>
      <c r="M43" s="5"/>
      <c r="N43" s="5"/>
    </row>
    <row r="44" spans="1:14" ht="15.75" customHeight="1">
      <c r="A44" s="2" t="s">
        <v>38</v>
      </c>
      <c r="B44" s="2" t="s">
        <v>13</v>
      </c>
      <c r="C44" s="2" t="str">
        <f>_xlfn.IFNA(VLOOKUP(B44,Metadata!$G$1:$H$8,2,),"-")</f>
        <v>7-10 yrs</v>
      </c>
      <c r="D44" s="3" t="str">
        <f t="shared" si="0"/>
        <v>ABAP_IS4</v>
      </c>
      <c r="E44" s="22" t="s">
        <v>42</v>
      </c>
      <c r="F44" s="2"/>
      <c r="G44" s="9"/>
      <c r="H44" s="6"/>
      <c r="I44" s="5"/>
      <c r="J44" s="5"/>
      <c r="K44" s="5"/>
      <c r="L44" s="5"/>
      <c r="M44" s="5"/>
      <c r="N44" s="5"/>
    </row>
    <row r="45" spans="1:14" ht="15.75" customHeight="1">
      <c r="A45" s="2" t="s">
        <v>38</v>
      </c>
      <c r="B45" s="2" t="s">
        <v>18</v>
      </c>
      <c r="C45" s="2" t="str">
        <f>_xlfn.IFNA(VLOOKUP(B45,Metadata!$G$1:$H$8,2,),"-")</f>
        <v>10-15 yrs</v>
      </c>
      <c r="D45" s="3" t="str">
        <f t="shared" si="0"/>
        <v>ABAP_IS5</v>
      </c>
      <c r="E45" s="22" t="s">
        <v>42</v>
      </c>
      <c r="F45" s="2"/>
      <c r="G45" s="9"/>
      <c r="H45" s="6"/>
      <c r="I45" s="5"/>
      <c r="J45" s="5"/>
      <c r="K45" s="5"/>
      <c r="L45" s="5"/>
      <c r="M45" s="5"/>
      <c r="N45" s="5"/>
    </row>
    <row r="46" spans="1:14" ht="15.75" customHeight="1">
      <c r="A46" s="2" t="s">
        <v>38</v>
      </c>
      <c r="B46" s="2" t="s">
        <v>43</v>
      </c>
      <c r="C46" s="2" t="str">
        <f>_xlfn.IFNA(VLOOKUP(B46,Metadata!$G$1:$H$8,2,),"-")</f>
        <v>20+ yrs</v>
      </c>
      <c r="D46" s="3" t="str">
        <f t="shared" si="0"/>
        <v>ABAP_IS6</v>
      </c>
      <c r="E46" s="22" t="s">
        <v>42</v>
      </c>
      <c r="F46" s="2"/>
      <c r="G46" s="9"/>
      <c r="H46" s="6"/>
      <c r="I46" s="5"/>
      <c r="J46" s="5"/>
      <c r="K46" s="5"/>
      <c r="L46" s="5"/>
      <c r="M46" s="5"/>
      <c r="N46" s="5"/>
    </row>
    <row r="47" spans="1:14" ht="15.75" customHeight="1">
      <c r="A47" s="7"/>
      <c r="B47" s="7"/>
      <c r="C47" s="7"/>
      <c r="D47" s="3"/>
      <c r="E47" s="21"/>
      <c r="F47" s="7"/>
      <c r="G47" s="9"/>
      <c r="H47" s="6"/>
      <c r="I47" s="5"/>
      <c r="J47" s="5"/>
      <c r="K47" s="5"/>
      <c r="L47" s="5"/>
      <c r="M47" s="5"/>
      <c r="N47" s="5"/>
    </row>
    <row r="48" spans="1:14" ht="15.75" customHeight="1">
      <c r="A48" s="2" t="s">
        <v>44</v>
      </c>
      <c r="B48" s="2" t="s">
        <v>9</v>
      </c>
      <c r="C48" s="2" t="str">
        <f>_xlfn.IFNA(VLOOKUP(B48,Metadata!$G$1:$H$8,2,),"-")</f>
        <v>2-5 yrs</v>
      </c>
      <c r="D48" s="3" t="str">
        <f>_xlfn.CONCAT(A48,"_",B48)</f>
        <v>Portal_IS2</v>
      </c>
      <c r="E48" s="22" t="s">
        <v>45</v>
      </c>
      <c r="F48" s="2"/>
      <c r="G48" s="9"/>
      <c r="H48" s="6"/>
      <c r="I48" s="5"/>
      <c r="J48" s="5"/>
      <c r="K48" s="5"/>
      <c r="L48" s="5"/>
      <c r="M48" s="5"/>
      <c r="N48" s="5"/>
    </row>
    <row r="49" spans="1:14" ht="15.75" customHeight="1">
      <c r="A49" s="2" t="s">
        <v>44</v>
      </c>
      <c r="B49" s="2" t="s">
        <v>11</v>
      </c>
      <c r="C49" s="2" t="str">
        <f>_xlfn.IFNA(VLOOKUP(B49,Metadata!$G$1:$H$8,2,),"-")</f>
        <v>5-7 yrs</v>
      </c>
      <c r="D49" s="3" t="str">
        <f>_xlfn.CONCAT(A49,"_",B49)</f>
        <v>Portal_IS3</v>
      </c>
      <c r="E49" s="22" t="s">
        <v>46</v>
      </c>
      <c r="F49" s="2"/>
      <c r="G49" s="9"/>
      <c r="H49" s="6"/>
      <c r="I49" s="5"/>
      <c r="J49" s="5"/>
      <c r="K49" s="5"/>
      <c r="L49" s="5"/>
      <c r="M49" s="5"/>
      <c r="N49" s="5"/>
    </row>
    <row r="50" spans="1:14" ht="15.75" customHeight="1">
      <c r="A50" s="7"/>
      <c r="B50" s="7"/>
      <c r="C50" s="7"/>
      <c r="D50" s="3"/>
      <c r="E50" s="21"/>
      <c r="F50" s="7"/>
      <c r="G50" s="9"/>
      <c r="H50" s="6"/>
      <c r="I50" s="5"/>
      <c r="J50" s="5"/>
      <c r="K50" s="5"/>
      <c r="L50" s="5"/>
      <c r="M50" s="5"/>
      <c r="N50" s="5"/>
    </row>
    <row r="51" spans="1:14" ht="15.75" customHeight="1">
      <c r="A51" s="2" t="s">
        <v>47</v>
      </c>
      <c r="B51" s="2" t="s">
        <v>9</v>
      </c>
      <c r="C51" s="2" t="str">
        <f>_xlfn.IFNA(VLOOKUP(B51,Metadata!$G$1:$H$8,2,),"-")</f>
        <v>2-5 yrs</v>
      </c>
      <c r="D51" s="3" t="str">
        <f>_xlfn.CONCAT(A51,"_",B51)</f>
        <v>GRC (Access and Process control)_IS2</v>
      </c>
      <c r="E51" s="22" t="s">
        <v>48</v>
      </c>
      <c r="F51" s="2"/>
      <c r="G51" s="9"/>
      <c r="H51" s="6"/>
      <c r="I51" s="5"/>
      <c r="J51" s="5"/>
      <c r="K51" s="5"/>
      <c r="L51" s="5"/>
      <c r="M51" s="5"/>
      <c r="N51" s="5"/>
    </row>
    <row r="52" spans="1:14" ht="15.75" customHeight="1">
      <c r="A52" s="2" t="s">
        <v>47</v>
      </c>
      <c r="B52" s="2" t="s">
        <v>11</v>
      </c>
      <c r="C52" s="2" t="str">
        <f>_xlfn.IFNA(VLOOKUP(B52,Metadata!$G$1:$H$8,2,),"-")</f>
        <v>5-7 yrs</v>
      </c>
      <c r="D52" s="3" t="str">
        <f>_xlfn.CONCAT(A52,"_",B52)</f>
        <v>GRC (Access and Process control)_IS3</v>
      </c>
      <c r="E52" s="22" t="s">
        <v>49</v>
      </c>
      <c r="F52" s="2"/>
      <c r="G52" s="9"/>
      <c r="H52" s="6"/>
      <c r="I52" s="5"/>
      <c r="J52" s="5"/>
      <c r="K52" s="5"/>
      <c r="L52" s="5"/>
      <c r="M52" s="5"/>
      <c r="N52" s="5"/>
    </row>
    <row r="53" spans="1:14" ht="15.75" customHeight="1">
      <c r="A53" s="2" t="s">
        <v>47</v>
      </c>
      <c r="B53" s="2" t="s">
        <v>13</v>
      </c>
      <c r="C53" s="2" t="str">
        <f>_xlfn.IFNA(VLOOKUP(B53,Metadata!$G$1:$H$8,2,),"-")</f>
        <v>7-10 yrs</v>
      </c>
      <c r="D53" s="3" t="str">
        <f>_xlfn.CONCAT(A53,"_",B53)</f>
        <v>GRC (Access and Process control)_IS4</v>
      </c>
      <c r="E53" s="22" t="s">
        <v>50</v>
      </c>
      <c r="F53" s="2"/>
      <c r="G53" s="9"/>
      <c r="H53" s="6"/>
      <c r="I53" s="5"/>
      <c r="J53" s="5"/>
      <c r="K53" s="5"/>
      <c r="L53" s="5"/>
      <c r="M53" s="5"/>
      <c r="N53" s="5"/>
    </row>
    <row r="54" spans="1:14" ht="15.75" customHeight="1">
      <c r="A54" s="11"/>
      <c r="B54" s="11"/>
      <c r="C54" s="11"/>
      <c r="D54" s="3"/>
      <c r="E54" s="23"/>
      <c r="F54" s="11"/>
      <c r="G54" s="9"/>
      <c r="H54" s="6"/>
      <c r="I54" s="5"/>
      <c r="J54" s="5"/>
      <c r="K54" s="5"/>
      <c r="L54" s="5"/>
      <c r="M54" s="5"/>
      <c r="N54" s="5"/>
    </row>
    <row r="55" spans="1:14" ht="15.75" customHeight="1">
      <c r="A55" s="2" t="s">
        <v>51</v>
      </c>
      <c r="B55" s="2" t="s">
        <v>7</v>
      </c>
      <c r="C55" s="2" t="str">
        <f>_xlfn.IFNA(VLOOKUP(B55,Metadata!$G$1:$H$8,2,),"-")</f>
        <v>0-2 yrs</v>
      </c>
      <c r="D55" s="3" t="str">
        <f>_xlfn.CONCAT(A55,"_",B55)</f>
        <v>SAP Security+GRC_IS1</v>
      </c>
      <c r="E55" s="22" t="s">
        <v>52</v>
      </c>
      <c r="F55" s="2"/>
      <c r="G55" s="9"/>
      <c r="H55" s="6"/>
      <c r="I55" s="5"/>
      <c r="J55" s="5"/>
      <c r="K55" s="5"/>
      <c r="L55" s="5"/>
      <c r="M55" s="5"/>
      <c r="N55" s="5"/>
    </row>
    <row r="56" spans="1:14" ht="15.75" customHeight="1">
      <c r="A56" s="2" t="s">
        <v>51</v>
      </c>
      <c r="B56" s="2" t="s">
        <v>9</v>
      </c>
      <c r="C56" s="2" t="str">
        <f>_xlfn.IFNA(VLOOKUP(B56,Metadata!$G$1:$H$8,2,),"-")</f>
        <v>2-5 yrs</v>
      </c>
      <c r="D56" s="3" t="str">
        <f>_xlfn.CONCAT(A56,"_",B56)</f>
        <v>SAP Security+GRC_IS2</v>
      </c>
      <c r="E56" s="22" t="s">
        <v>48</v>
      </c>
      <c r="F56" s="2"/>
      <c r="G56" s="9"/>
      <c r="H56" s="6"/>
      <c r="I56" s="5"/>
      <c r="J56" s="5"/>
      <c r="K56" s="5"/>
      <c r="L56" s="5"/>
      <c r="M56" s="5"/>
      <c r="N56" s="5"/>
    </row>
    <row r="57" spans="1:14" ht="15.75" customHeight="1">
      <c r="A57" s="2" t="s">
        <v>51</v>
      </c>
      <c r="B57" s="2" t="s">
        <v>11</v>
      </c>
      <c r="C57" s="2" t="str">
        <f>_xlfn.IFNA(VLOOKUP(B57,Metadata!$G$1:$H$8,2,),"-")</f>
        <v>5-7 yrs</v>
      </c>
      <c r="D57" s="3" t="str">
        <f>_xlfn.CONCAT(A57,"_",B57)</f>
        <v>SAP Security+GRC_IS3</v>
      </c>
      <c r="E57" s="22" t="s">
        <v>49</v>
      </c>
      <c r="F57" s="2"/>
      <c r="G57" s="9"/>
      <c r="H57" s="6"/>
      <c r="I57" s="5"/>
      <c r="J57" s="5"/>
      <c r="K57" s="5"/>
      <c r="L57" s="5"/>
      <c r="M57" s="5"/>
      <c r="N57" s="5"/>
    </row>
    <row r="58" spans="1:14" ht="15.75" customHeight="1">
      <c r="A58" s="2" t="s">
        <v>51</v>
      </c>
      <c r="B58" s="2" t="s">
        <v>13</v>
      </c>
      <c r="C58" s="2" t="str">
        <f>_xlfn.IFNA(VLOOKUP(B58,Metadata!$G$1:$H$8,2,),"-")</f>
        <v>7-10 yrs</v>
      </c>
      <c r="D58" s="3" t="str">
        <f>_xlfn.CONCAT(A58,"_",B58)</f>
        <v>SAP Security+GRC_IS4</v>
      </c>
      <c r="E58" s="18" t="s">
        <v>50</v>
      </c>
      <c r="F58" s="2"/>
      <c r="G58" s="9"/>
      <c r="H58" s="6"/>
      <c r="I58" s="5"/>
      <c r="J58" s="5"/>
      <c r="K58" s="5"/>
      <c r="L58" s="5"/>
      <c r="M58" s="5"/>
      <c r="N58" s="5"/>
    </row>
    <row r="59" spans="1:14" ht="15.75" customHeight="1">
      <c r="A59" s="11"/>
      <c r="B59" s="11"/>
      <c r="C59" s="11"/>
      <c r="D59" s="3"/>
      <c r="E59" s="23"/>
      <c r="F59" s="11"/>
      <c r="G59" s="9"/>
      <c r="H59" s="6"/>
      <c r="I59" s="5"/>
      <c r="J59" s="5"/>
      <c r="K59" s="5"/>
      <c r="L59" s="5"/>
      <c r="M59" s="5"/>
      <c r="N59" s="5"/>
    </row>
    <row r="60" spans="1:14" ht="15.75" customHeight="1">
      <c r="A60" s="2" t="s">
        <v>53</v>
      </c>
      <c r="B60" s="2" t="s">
        <v>9</v>
      </c>
      <c r="C60" s="2" t="str">
        <f>_xlfn.IFNA(VLOOKUP(B60,Metadata!$G$1:$H$8,2,),"-")</f>
        <v>2-5 yrs</v>
      </c>
      <c r="D60" s="3" t="str">
        <f>_xlfn.CONCAT(A60,"_",B60)</f>
        <v>FICO+CFIN/SLT_IS2</v>
      </c>
      <c r="E60" s="22" t="s">
        <v>22</v>
      </c>
      <c r="F60" s="2"/>
      <c r="G60" s="9"/>
      <c r="H60" s="6"/>
      <c r="I60" s="5"/>
      <c r="J60" s="5"/>
      <c r="K60" s="5"/>
      <c r="L60" s="5"/>
      <c r="M60" s="5"/>
      <c r="N60" s="5"/>
    </row>
    <row r="61" spans="1:14" ht="15.75" customHeight="1">
      <c r="A61" s="2" t="s">
        <v>53</v>
      </c>
      <c r="B61" s="2" t="s">
        <v>11</v>
      </c>
      <c r="C61" s="2" t="str">
        <f>_xlfn.IFNA(VLOOKUP(B61,Metadata!$G$1:$H$8,2,),"-")</f>
        <v>5-7 yrs</v>
      </c>
      <c r="D61" s="3" t="str">
        <f>_xlfn.CONCAT(A61,"_",B61)</f>
        <v>FICO+CFIN/SLT_IS3</v>
      </c>
      <c r="E61" s="22" t="s">
        <v>23</v>
      </c>
      <c r="F61" s="2"/>
      <c r="G61" s="9"/>
      <c r="H61" s="6"/>
      <c r="I61" s="5"/>
      <c r="J61" s="5"/>
      <c r="K61" s="5"/>
      <c r="L61" s="5"/>
      <c r="M61" s="5"/>
      <c r="N61" s="5"/>
    </row>
    <row r="62" spans="1:14" ht="15.75" customHeight="1">
      <c r="A62" s="2" t="s">
        <v>53</v>
      </c>
      <c r="B62" s="2" t="s">
        <v>13</v>
      </c>
      <c r="C62" s="2" t="str">
        <f>_xlfn.IFNA(VLOOKUP(B62,Metadata!$G$1:$H$8,2,),"-")</f>
        <v>7-10 yrs</v>
      </c>
      <c r="D62" s="3" t="str">
        <f>_xlfn.CONCAT(A62,"_",B62)</f>
        <v>FICO+CFIN/SLT_IS4</v>
      </c>
      <c r="E62" s="22" t="s">
        <v>54</v>
      </c>
      <c r="F62" s="2"/>
      <c r="G62" s="9"/>
      <c r="H62" s="6"/>
      <c r="I62" s="5"/>
      <c r="J62" s="5"/>
      <c r="K62" s="5"/>
      <c r="L62" s="5"/>
      <c r="M62" s="5"/>
      <c r="N62" s="5"/>
    </row>
    <row r="63" spans="1:14" ht="15.75" customHeight="1">
      <c r="A63" s="7"/>
      <c r="B63" s="7"/>
      <c r="C63" s="7"/>
      <c r="D63" s="3"/>
      <c r="E63" s="21"/>
      <c r="F63" s="7"/>
      <c r="G63" s="9"/>
      <c r="H63" s="6"/>
      <c r="I63" s="5"/>
      <c r="J63" s="5"/>
      <c r="K63" s="5"/>
      <c r="L63" s="5"/>
      <c r="M63" s="5"/>
      <c r="N63" s="5"/>
    </row>
    <row r="64" spans="1:14" ht="15.75" customHeight="1">
      <c r="A64" s="2" t="s">
        <v>55</v>
      </c>
      <c r="B64" s="2" t="s">
        <v>9</v>
      </c>
      <c r="C64" s="2" t="str">
        <f>_xlfn.IFNA(VLOOKUP(B64,Metadata!$G$1:$H$8,2,),"-")</f>
        <v>2-5 yrs</v>
      </c>
      <c r="D64" s="3" t="str">
        <f>_xlfn.CONCAT(A64,"_",B64)</f>
        <v>S&amp;V (Fixed asset mgmt)_IS2</v>
      </c>
      <c r="E64" s="22" t="s">
        <v>22</v>
      </c>
      <c r="F64" s="2"/>
      <c r="G64" s="9"/>
      <c r="H64" s="6"/>
      <c r="I64" s="5"/>
      <c r="J64" s="5"/>
      <c r="K64" s="5"/>
      <c r="L64" s="5"/>
      <c r="M64" s="5"/>
      <c r="N64" s="5"/>
    </row>
    <row r="65" spans="1:14" ht="15.75" customHeight="1">
      <c r="A65" s="2" t="s">
        <v>55</v>
      </c>
      <c r="B65" s="2" t="s">
        <v>11</v>
      </c>
      <c r="C65" s="2" t="str">
        <f>_xlfn.IFNA(VLOOKUP(B65,Metadata!$G$1:$H$8,2,),"-")</f>
        <v>5-7 yrs</v>
      </c>
      <c r="D65" s="3" t="str">
        <f>_xlfn.CONCAT(A65,"_",B65)</f>
        <v>S&amp;V (Fixed asset mgmt)_IS3</v>
      </c>
      <c r="E65" s="22" t="s">
        <v>23</v>
      </c>
      <c r="F65" s="2"/>
      <c r="G65" s="9"/>
      <c r="H65" s="6"/>
      <c r="I65" s="5"/>
      <c r="J65" s="5"/>
      <c r="K65" s="5"/>
      <c r="L65" s="5"/>
      <c r="M65" s="5"/>
      <c r="N65" s="5"/>
    </row>
    <row r="66" spans="1:14" ht="15.75" customHeight="1">
      <c r="A66" s="7"/>
      <c r="B66" s="7"/>
      <c r="C66" s="7"/>
      <c r="D66" s="3"/>
      <c r="E66" s="21"/>
      <c r="F66" s="7"/>
      <c r="G66" s="9"/>
      <c r="H66" s="6"/>
      <c r="I66" s="5"/>
      <c r="J66" s="5"/>
      <c r="K66" s="5"/>
      <c r="L66" s="5"/>
      <c r="M66" s="5"/>
      <c r="N66" s="5"/>
    </row>
    <row r="67" spans="1:14" ht="15.75" customHeight="1">
      <c r="A67" s="2" t="s">
        <v>56</v>
      </c>
      <c r="B67" s="2" t="s">
        <v>7</v>
      </c>
      <c r="C67" s="2" t="str">
        <f>_xlfn.IFNA(VLOOKUP(B67,Metadata!$G$1:$H$8,2,),"-")</f>
        <v>0-2 yrs</v>
      </c>
      <c r="D67" s="3" t="str">
        <f>_xlfn.CONCAT(A67,"_",B67)</f>
        <v>SAP Basis_IS1</v>
      </c>
      <c r="E67" s="18" t="s">
        <v>57</v>
      </c>
      <c r="F67" s="2"/>
      <c r="G67" s="9"/>
      <c r="H67" s="6"/>
      <c r="I67" s="5"/>
      <c r="J67" s="5"/>
      <c r="K67" s="5"/>
      <c r="L67" s="5"/>
      <c r="M67" s="5"/>
      <c r="N67" s="5"/>
    </row>
    <row r="68" spans="1:14" ht="15.75" customHeight="1">
      <c r="A68" s="2" t="s">
        <v>56</v>
      </c>
      <c r="B68" s="2" t="s">
        <v>9</v>
      </c>
      <c r="C68" s="2" t="str">
        <f>_xlfn.IFNA(VLOOKUP(B68,Metadata!$G$1:$H$8,2,),"-")</f>
        <v>2-5 yrs</v>
      </c>
      <c r="D68" s="3" t="str">
        <f>_xlfn.CONCAT(A68,"_",B68)</f>
        <v>SAP Basis_IS2</v>
      </c>
      <c r="E68" s="18" t="s">
        <v>58</v>
      </c>
      <c r="F68" s="2"/>
      <c r="G68" s="9"/>
      <c r="H68" s="6"/>
      <c r="I68" s="5"/>
      <c r="J68" s="5"/>
      <c r="K68" s="5"/>
      <c r="L68" s="5"/>
      <c r="M68" s="5"/>
      <c r="N68" s="5"/>
    </row>
    <row r="69" spans="1:14" ht="15.75" customHeight="1">
      <c r="A69" s="2" t="s">
        <v>56</v>
      </c>
      <c r="B69" s="2" t="s">
        <v>11</v>
      </c>
      <c r="C69" s="2" t="str">
        <f>_xlfn.IFNA(VLOOKUP(B69,Metadata!$G$1:$H$8,2,),"-")</f>
        <v>5-7 yrs</v>
      </c>
      <c r="D69" s="3" t="str">
        <f>_xlfn.CONCAT(A69,"_",B69)</f>
        <v>SAP Basis_IS3</v>
      </c>
      <c r="E69" s="18" t="s">
        <v>59</v>
      </c>
      <c r="F69" s="2"/>
      <c r="G69" s="9"/>
      <c r="H69" s="6"/>
      <c r="I69" s="5"/>
      <c r="J69" s="5"/>
      <c r="K69" s="5"/>
      <c r="L69" s="5"/>
      <c r="M69" s="5"/>
      <c r="N69" s="5"/>
    </row>
    <row r="70" spans="1:14" ht="15.75" customHeight="1">
      <c r="A70" s="2" t="s">
        <v>56</v>
      </c>
      <c r="B70" s="2" t="s">
        <v>13</v>
      </c>
      <c r="C70" s="2" t="str">
        <f>_xlfn.IFNA(VLOOKUP(B70,Metadata!$G$1:$H$8,2,),"-")</f>
        <v>7-10 yrs</v>
      </c>
      <c r="D70" s="3" t="str">
        <f>_xlfn.CONCAT(A70,"_",B70)</f>
        <v>SAP Basis_IS4</v>
      </c>
      <c r="E70" s="18" t="s">
        <v>60</v>
      </c>
      <c r="F70" s="2"/>
      <c r="G70" s="9"/>
      <c r="H70" s="6"/>
      <c r="I70" s="5"/>
      <c r="J70" s="5"/>
      <c r="K70" s="5"/>
      <c r="L70" s="5"/>
      <c r="M70" s="5"/>
      <c r="N70" s="5"/>
    </row>
    <row r="71" spans="1:14" ht="15.75" customHeight="1">
      <c r="A71" s="2" t="s">
        <v>56</v>
      </c>
      <c r="B71" s="2" t="s">
        <v>18</v>
      </c>
      <c r="C71" s="2" t="str">
        <f>_xlfn.IFNA(VLOOKUP(B71,Metadata!$G$1:$H$8,2,),"-")</f>
        <v>10-15 yrs</v>
      </c>
      <c r="D71" s="3" t="str">
        <f>_xlfn.CONCAT(A71,"_",B71)</f>
        <v>SAP Basis_IS5</v>
      </c>
      <c r="E71" s="18" t="s">
        <v>61</v>
      </c>
      <c r="F71" s="2"/>
      <c r="G71" s="9"/>
      <c r="H71" s="6"/>
      <c r="I71" s="5"/>
      <c r="J71" s="5"/>
      <c r="K71" s="5"/>
      <c r="L71" s="5"/>
      <c r="M71" s="5"/>
      <c r="N71" s="5"/>
    </row>
    <row r="72" spans="1:14" ht="15.75" customHeight="1">
      <c r="A72" s="7"/>
      <c r="B72" s="7"/>
      <c r="C72" s="7"/>
      <c r="D72" s="3"/>
      <c r="E72" s="21"/>
      <c r="F72" s="7"/>
      <c r="G72" s="9"/>
      <c r="H72" s="6"/>
      <c r="I72" s="5"/>
      <c r="J72" s="5"/>
      <c r="K72" s="5"/>
      <c r="L72" s="5"/>
      <c r="M72" s="5"/>
      <c r="N72" s="5"/>
    </row>
    <row r="73" spans="1:14" ht="15.75" customHeight="1">
      <c r="A73" s="2" t="s">
        <v>62</v>
      </c>
      <c r="B73" s="2" t="s">
        <v>7</v>
      </c>
      <c r="C73" s="2" t="str">
        <f>_xlfn.IFNA(VLOOKUP(B73,Metadata!$G$1:$H$8,2,),"-")</f>
        <v>0-2 yrs</v>
      </c>
      <c r="D73" s="3" t="str">
        <f>_xlfn.CONCAT(A73,"_",B73)</f>
        <v>APO (DP, SNP, TLB) + SNC_IS1</v>
      </c>
      <c r="E73" s="22" t="s">
        <v>63</v>
      </c>
      <c r="F73" s="2"/>
      <c r="G73" s="9"/>
      <c r="H73" s="6"/>
      <c r="I73" s="5"/>
      <c r="J73" s="5"/>
      <c r="K73" s="5"/>
      <c r="L73" s="5"/>
      <c r="M73" s="5"/>
      <c r="N73" s="5"/>
    </row>
    <row r="74" spans="1:14" ht="15.75" customHeight="1">
      <c r="A74" s="2" t="s">
        <v>62</v>
      </c>
      <c r="B74" s="2" t="s">
        <v>9</v>
      </c>
      <c r="C74" s="2" t="str">
        <f>_xlfn.IFNA(VLOOKUP(B74,Metadata!$G$1:$H$8,2,),"-")</f>
        <v>2-5 yrs</v>
      </c>
      <c r="D74" s="3" t="str">
        <f>_xlfn.CONCAT(A74,"_",B74)</f>
        <v>APO (DP, SNP, TLB) + SNC_IS2</v>
      </c>
      <c r="E74" s="22" t="s">
        <v>64</v>
      </c>
      <c r="F74" s="2"/>
      <c r="G74" s="9"/>
      <c r="H74" s="6"/>
      <c r="I74" s="5"/>
      <c r="J74" s="5"/>
      <c r="K74" s="5"/>
      <c r="L74" s="5"/>
      <c r="M74" s="5"/>
      <c r="N74" s="5"/>
    </row>
    <row r="75" spans="1:14" ht="15.75" customHeight="1">
      <c r="A75" s="2" t="s">
        <v>62</v>
      </c>
      <c r="B75" s="2" t="s">
        <v>11</v>
      </c>
      <c r="C75" s="2" t="str">
        <f>_xlfn.IFNA(VLOOKUP(B75,Metadata!$G$1:$H$8,2,),"-")</f>
        <v>5-7 yrs</v>
      </c>
      <c r="D75" s="3" t="str">
        <f>_xlfn.CONCAT(A75,"_",B75)</f>
        <v>APO (DP, SNP, TLB) + SNC_IS3</v>
      </c>
      <c r="E75" s="22" t="s">
        <v>65</v>
      </c>
      <c r="F75" s="2"/>
      <c r="G75" s="9"/>
      <c r="H75" s="6"/>
      <c r="I75" s="5"/>
      <c r="J75" s="5"/>
      <c r="K75" s="5"/>
      <c r="L75" s="5"/>
      <c r="M75" s="5"/>
      <c r="N75" s="5"/>
    </row>
    <row r="76" spans="1:14" ht="15.75" customHeight="1">
      <c r="A76" s="2" t="s">
        <v>62</v>
      </c>
      <c r="B76" s="2" t="s">
        <v>13</v>
      </c>
      <c r="C76" s="2" t="str">
        <f>_xlfn.IFNA(VLOOKUP(B76,Metadata!$G$1:$H$8,2,),"-")</f>
        <v>7-10 yrs</v>
      </c>
      <c r="D76" s="3" t="str">
        <f>_xlfn.CONCAT(A76,"_",B76)</f>
        <v>APO (DP, SNP, TLB) + SNC_IS4</v>
      </c>
      <c r="E76" s="18" t="s">
        <v>66</v>
      </c>
      <c r="F76" s="2"/>
      <c r="G76" s="9"/>
      <c r="H76" s="6"/>
      <c r="I76" s="5"/>
      <c r="J76" s="5"/>
      <c r="K76" s="5"/>
      <c r="L76" s="5"/>
      <c r="M76" s="5"/>
      <c r="N76" s="5"/>
    </row>
    <row r="77" spans="1:14" ht="15.75" customHeight="1">
      <c r="A77" s="2" t="s">
        <v>62</v>
      </c>
      <c r="B77" s="2" t="s">
        <v>18</v>
      </c>
      <c r="C77" s="2" t="str">
        <f>_xlfn.IFNA(VLOOKUP(B77,Metadata!$G$1:$H$8,2,),"-")</f>
        <v>10-15 yrs</v>
      </c>
      <c r="D77" s="3" t="str">
        <f>_xlfn.CONCAT(A77,"_",B77)</f>
        <v>APO (DP, SNP, TLB) + SNC_IS5</v>
      </c>
      <c r="E77" s="22" t="s">
        <v>67</v>
      </c>
      <c r="F77" s="2"/>
      <c r="G77" s="9"/>
      <c r="H77" s="6"/>
      <c r="I77" s="5"/>
      <c r="J77" s="5"/>
      <c r="K77" s="5"/>
      <c r="L77" s="5"/>
      <c r="M77" s="5"/>
      <c r="N77" s="5"/>
    </row>
    <row r="78" spans="1:14" ht="15.75" customHeight="1">
      <c r="A78" s="7"/>
      <c r="B78" s="7"/>
      <c r="C78" s="7"/>
      <c r="D78" s="3"/>
      <c r="E78" s="21"/>
      <c r="F78" s="7"/>
      <c r="G78" s="9"/>
      <c r="H78" s="6"/>
      <c r="I78" s="5"/>
      <c r="J78" s="5"/>
      <c r="K78" s="5"/>
      <c r="L78" s="5"/>
      <c r="M78" s="5"/>
      <c r="N78" s="5"/>
    </row>
    <row r="79" spans="1:14" ht="15.75" customHeight="1">
      <c r="A79" s="2" t="s">
        <v>68</v>
      </c>
      <c r="B79" s="2" t="s">
        <v>9</v>
      </c>
      <c r="C79" s="2" t="str">
        <f>_xlfn.IFNA(VLOOKUP(B79,Metadata!$G$1:$H$8,2,),"-")</f>
        <v>2-5 yrs</v>
      </c>
      <c r="D79" s="3" t="str">
        <f>_xlfn.CONCAT(A79,"_",B79)</f>
        <v>Vistex (SD,LE) - Non TCS - Canada, Niche (ABAP, SD, FI)_IS2</v>
      </c>
      <c r="E79" s="22" t="s">
        <v>69</v>
      </c>
      <c r="F79" s="2"/>
      <c r="G79" s="9"/>
      <c r="H79" s="6"/>
      <c r="I79" s="5"/>
      <c r="J79" s="5"/>
      <c r="K79" s="5"/>
      <c r="L79" s="5"/>
      <c r="M79" s="5"/>
      <c r="N79" s="5"/>
    </row>
    <row r="80" spans="1:14" ht="15.75" customHeight="1">
      <c r="A80" s="2" t="s">
        <v>68</v>
      </c>
      <c r="B80" s="2" t="s">
        <v>11</v>
      </c>
      <c r="C80" s="2" t="str">
        <f>_xlfn.IFNA(VLOOKUP(B80,Metadata!$G$1:$H$8,2,),"-")</f>
        <v>5-7 yrs</v>
      </c>
      <c r="D80" s="3" t="str">
        <f>_xlfn.CONCAT(A80,"_",B80)</f>
        <v>Vistex (SD,LE) - Non TCS - Canada, Niche (ABAP, SD, FI)_IS3</v>
      </c>
      <c r="E80" s="18" t="s">
        <v>70</v>
      </c>
      <c r="F80" s="2"/>
      <c r="G80" s="9"/>
      <c r="H80" s="6"/>
      <c r="I80" s="5"/>
      <c r="J80" s="5"/>
      <c r="K80" s="5"/>
      <c r="L80" s="5"/>
      <c r="M80" s="5"/>
      <c r="N80" s="5"/>
    </row>
    <row r="81" spans="1:14" ht="15.75" customHeight="1">
      <c r="A81" s="2" t="s">
        <v>68</v>
      </c>
      <c r="B81" s="2" t="s">
        <v>13</v>
      </c>
      <c r="C81" s="2" t="str">
        <f>_xlfn.IFNA(VLOOKUP(B81,Metadata!$G$1:$H$8,2,),"-")</f>
        <v>7-10 yrs</v>
      </c>
      <c r="D81" s="3" t="str">
        <f>_xlfn.CONCAT(A81,"_",B81)</f>
        <v>Vistex (SD,LE) - Non TCS - Canada, Niche (ABAP, SD, FI)_IS4</v>
      </c>
      <c r="E81" s="18" t="s">
        <v>71</v>
      </c>
      <c r="F81" s="2"/>
      <c r="G81" s="9"/>
      <c r="H81" s="6"/>
      <c r="I81" s="5"/>
      <c r="J81" s="5"/>
      <c r="K81" s="5"/>
      <c r="L81" s="5"/>
      <c r="M81" s="5"/>
      <c r="N81" s="5"/>
    </row>
    <row r="82" spans="1:14" ht="15.75" customHeight="1">
      <c r="A82" s="7"/>
      <c r="B82" s="7"/>
      <c r="C82" s="7"/>
      <c r="D82" s="3"/>
      <c r="E82" s="21"/>
      <c r="F82" s="7"/>
      <c r="G82" s="9"/>
      <c r="H82" s="6"/>
      <c r="I82" s="5"/>
      <c r="J82" s="5"/>
      <c r="K82" s="5"/>
      <c r="L82" s="5"/>
      <c r="M82" s="5"/>
      <c r="N82" s="5"/>
    </row>
    <row r="83" spans="1:14" ht="15.75" customHeight="1">
      <c r="A83" s="2" t="s">
        <v>72</v>
      </c>
      <c r="B83" s="2" t="s">
        <v>9</v>
      </c>
      <c r="C83" s="2" t="str">
        <f>_xlfn.IFNA(VLOOKUP(B83,Metadata!$G$1:$H$8,2,),"-")</f>
        <v>2-5 yrs</v>
      </c>
      <c r="D83" s="3" t="str">
        <f>_xlfn.CONCAT(A83,"_",B83)</f>
        <v>CPS_IS2</v>
      </c>
      <c r="E83" s="22" t="s">
        <v>73</v>
      </c>
      <c r="F83" s="2"/>
      <c r="G83" s="9"/>
      <c r="H83" s="6"/>
      <c r="I83" s="5"/>
      <c r="J83" s="5"/>
      <c r="K83" s="5"/>
      <c r="L83" s="5"/>
      <c r="M83" s="5"/>
      <c r="N83" s="5"/>
    </row>
    <row r="84" spans="1:14" ht="15.75" customHeight="1">
      <c r="A84" s="2" t="s">
        <v>72</v>
      </c>
      <c r="B84" s="2" t="s">
        <v>11</v>
      </c>
      <c r="C84" s="2" t="str">
        <f>_xlfn.IFNA(VLOOKUP(B84,Metadata!$G$1:$H$8,2,),"-")</f>
        <v>5-7 yrs</v>
      </c>
      <c r="D84" s="3" t="str">
        <f>_xlfn.CONCAT(A84,"_",B84)</f>
        <v>CPS_IS3</v>
      </c>
      <c r="E84" s="22" t="s">
        <v>74</v>
      </c>
      <c r="F84" s="2"/>
      <c r="G84" s="9"/>
      <c r="H84" s="6"/>
      <c r="I84" s="5"/>
      <c r="J84" s="5"/>
      <c r="K84" s="5"/>
      <c r="L84" s="5"/>
      <c r="M84" s="5"/>
      <c r="N84" s="5"/>
    </row>
    <row r="85" spans="1:14" ht="15.75" customHeight="1">
      <c r="A85" s="2" t="s">
        <v>72</v>
      </c>
      <c r="B85" s="2" t="s">
        <v>13</v>
      </c>
      <c r="C85" s="2" t="str">
        <f>_xlfn.IFNA(VLOOKUP(B85,Metadata!$G$1:$H$8,2,),"-")</f>
        <v>7-10 yrs</v>
      </c>
      <c r="D85" s="3" t="str">
        <f>_xlfn.CONCAT(A85,"_",B85)</f>
        <v>CPS_IS4</v>
      </c>
      <c r="E85" s="22" t="s">
        <v>75</v>
      </c>
      <c r="F85" s="2"/>
      <c r="G85" s="9"/>
      <c r="H85" s="6"/>
      <c r="I85" s="5"/>
      <c r="J85" s="5"/>
      <c r="K85" s="5"/>
      <c r="L85" s="5"/>
      <c r="M85" s="5"/>
      <c r="N85" s="5"/>
    </row>
    <row r="86" spans="1:14" ht="15.75" customHeight="1">
      <c r="A86" s="7"/>
      <c r="B86" s="7"/>
      <c r="C86" s="7"/>
      <c r="D86" s="3"/>
      <c r="E86" s="21"/>
      <c r="F86" s="7"/>
      <c r="G86" s="9"/>
      <c r="H86" s="6"/>
      <c r="I86" s="5"/>
      <c r="J86" s="5"/>
      <c r="K86" s="5"/>
      <c r="L86" s="5"/>
      <c r="M86" s="5"/>
      <c r="N86" s="5"/>
    </row>
    <row r="87" spans="1:14" ht="15.75" customHeight="1">
      <c r="A87" s="2" t="s">
        <v>76</v>
      </c>
      <c r="B87" s="2" t="s">
        <v>9</v>
      </c>
      <c r="C87" s="2" t="str">
        <f>_xlfn.IFNA(VLOOKUP(B87,Metadata!$G$1:$H$8,2,),"-")</f>
        <v>2-5 yrs</v>
      </c>
      <c r="D87" s="3" t="str">
        <f>_xlfn.CONCAT(A87,"_",B87)</f>
        <v>PLM (MDG and ECC)_IS2</v>
      </c>
      <c r="E87" s="22" t="s">
        <v>77</v>
      </c>
      <c r="F87" s="2"/>
      <c r="G87" s="9"/>
      <c r="H87" s="6"/>
      <c r="I87" s="5"/>
      <c r="J87" s="5"/>
      <c r="K87" s="5"/>
      <c r="L87" s="5"/>
      <c r="M87" s="5"/>
      <c r="N87" s="5"/>
    </row>
    <row r="88" spans="1:14" ht="15.75" customHeight="1">
      <c r="A88" s="2" t="s">
        <v>76</v>
      </c>
      <c r="B88" s="2" t="s">
        <v>11</v>
      </c>
      <c r="C88" s="2" t="str">
        <f>_xlfn.IFNA(VLOOKUP(B88,Metadata!$G$1:$H$8,2,),"-")</f>
        <v>5-7 yrs</v>
      </c>
      <c r="D88" s="3" t="str">
        <f>_xlfn.CONCAT(A88,"_",B88)</f>
        <v>PLM (MDG and ECC)_IS3</v>
      </c>
      <c r="E88" s="47" t="s">
        <v>78</v>
      </c>
      <c r="F88" s="13"/>
    </row>
    <row r="89" spans="1:14" ht="15.75" customHeight="1">
      <c r="A89" s="2" t="s">
        <v>76</v>
      </c>
      <c r="B89" s="2" t="s">
        <v>13</v>
      </c>
      <c r="C89" s="2" t="str">
        <f>_xlfn.IFNA(VLOOKUP(B89,Metadata!$G$1:$H$8,2,),"-")</f>
        <v>7-10 yrs</v>
      </c>
      <c r="D89" s="3" t="str">
        <f>_xlfn.CONCAT(A89,"_",B89)</f>
        <v>PLM (MDG and ECC)_IS4</v>
      </c>
      <c r="E89" s="47" t="s">
        <v>79</v>
      </c>
      <c r="F89" s="14"/>
    </row>
    <row r="90" spans="1:14" ht="15.75" customHeight="1">
      <c r="A90" s="11"/>
      <c r="B90" s="11"/>
      <c r="C90" s="11"/>
      <c r="D90" s="12"/>
      <c r="E90" s="23"/>
      <c r="F90" s="15"/>
    </row>
    <row r="91" spans="1:14" ht="15.75" customHeight="1">
      <c r="A91" s="27" t="s">
        <v>80</v>
      </c>
      <c r="B91" s="2" t="s">
        <v>43</v>
      </c>
      <c r="C91" s="2" t="str">
        <f>_xlfn.IFNA(VLOOKUP(B91,Metadata!$G$1:$H$8,2,),"-")</f>
        <v>20+ yrs</v>
      </c>
      <c r="D91" s="3" t="str">
        <f>_xlfn.CONCAT(A91,"_",B91)</f>
        <v>SAP Consultant_IS6</v>
      </c>
      <c r="E91" s="47"/>
      <c r="F91" s="14"/>
    </row>
    <row r="92" spans="1:14" ht="15.75" customHeight="1">
      <c r="A92" s="11"/>
      <c r="B92" s="11"/>
      <c r="C92" s="11"/>
      <c r="D92" s="12"/>
      <c r="E92" s="23"/>
      <c r="F92" s="15"/>
    </row>
    <row r="93" spans="1:14" ht="15.75" customHeight="1">
      <c r="A93" s="2" t="s">
        <v>81</v>
      </c>
      <c r="B93" s="2" t="s">
        <v>7</v>
      </c>
      <c r="C93" s="2" t="str">
        <f>_xlfn.IFNA(VLOOKUP(B93,Metadata!$G$1:$H$8,2,),"-")</f>
        <v>0-2 yrs</v>
      </c>
      <c r="D93" s="3" t="str">
        <f t="shared" ref="D93:D98" si="1">_xlfn.CONCAT(A93,"_",B93)</f>
        <v>SAP PO/PI/CPI_IS1</v>
      </c>
      <c r="E93" s="46" t="s">
        <v>82</v>
      </c>
      <c r="F93" s="4"/>
    </row>
    <row r="94" spans="1:14" ht="15.75" customHeight="1">
      <c r="A94" s="2" t="s">
        <v>81</v>
      </c>
      <c r="B94" s="2" t="s">
        <v>9</v>
      </c>
      <c r="C94" s="2" t="str">
        <f>_xlfn.IFNA(VLOOKUP(B94,Metadata!$G$1:$H$8,2,),"-")</f>
        <v>2-5 yrs</v>
      </c>
      <c r="D94" s="3" t="str">
        <f t="shared" si="1"/>
        <v>SAP PO/PI/CPI_IS2</v>
      </c>
      <c r="E94" s="46" t="s">
        <v>83</v>
      </c>
      <c r="F94" s="4"/>
    </row>
    <row r="95" spans="1:14" ht="15.75" customHeight="1">
      <c r="A95" s="2" t="s">
        <v>81</v>
      </c>
      <c r="B95" s="2" t="s">
        <v>11</v>
      </c>
      <c r="C95" s="2" t="str">
        <f>_xlfn.IFNA(VLOOKUP(B95,Metadata!$G$1:$H$8,2,),"-")</f>
        <v>5-7 yrs</v>
      </c>
      <c r="D95" s="3" t="str">
        <f t="shared" si="1"/>
        <v>SAP PO/PI/CPI_IS3</v>
      </c>
      <c r="E95" s="46" t="s">
        <v>84</v>
      </c>
      <c r="F95" s="4"/>
    </row>
    <row r="96" spans="1:14" ht="15.75" customHeight="1">
      <c r="A96" s="2" t="s">
        <v>81</v>
      </c>
      <c r="B96" s="2" t="s">
        <v>13</v>
      </c>
      <c r="C96" s="2" t="str">
        <f>_xlfn.IFNA(VLOOKUP(B96,Metadata!$G$1:$H$8,2,),"-")</f>
        <v>7-10 yrs</v>
      </c>
      <c r="D96" s="3" t="str">
        <f t="shared" si="1"/>
        <v>SAP PO/PI/CPI_IS4</v>
      </c>
      <c r="E96" s="46" t="s">
        <v>85</v>
      </c>
      <c r="F96" s="4"/>
    </row>
    <row r="97" spans="1:6" ht="15.75" customHeight="1">
      <c r="A97" s="2" t="s">
        <v>81</v>
      </c>
      <c r="B97" s="2" t="s">
        <v>18</v>
      </c>
      <c r="C97" s="2" t="str">
        <f>_xlfn.IFNA(VLOOKUP(B97,Metadata!$G$1:$H$8,2,),"-")</f>
        <v>10-15 yrs</v>
      </c>
      <c r="D97" s="3" t="str">
        <f t="shared" si="1"/>
        <v>SAP PO/PI/CPI_IS5</v>
      </c>
      <c r="E97" s="46" t="s">
        <v>86</v>
      </c>
      <c r="F97" s="4"/>
    </row>
    <row r="98" spans="1:6" ht="15.75" customHeight="1">
      <c r="A98" s="2" t="s">
        <v>81</v>
      </c>
      <c r="B98" s="2" t="s">
        <v>87</v>
      </c>
      <c r="C98" s="2" t="str">
        <f>_xlfn.IFNA(VLOOKUP(B98,Metadata!$G$1:$H$8,2,),"-")</f>
        <v>15 - 20 yrs</v>
      </c>
      <c r="D98" s="3" t="str">
        <f t="shared" si="1"/>
        <v>SAP PO/PI/CPI_I5+</v>
      </c>
      <c r="E98" s="46" t="s">
        <v>88</v>
      </c>
      <c r="F98" s="4"/>
    </row>
    <row r="99" spans="1:6" ht="15.75" customHeight="1">
      <c r="A99" s="7"/>
      <c r="B99" s="7"/>
      <c r="C99" s="7"/>
      <c r="D99" s="7"/>
      <c r="E99" s="20"/>
      <c r="F99" s="8"/>
    </row>
    <row r="100" spans="1:6" ht="15.75" customHeight="1">
      <c r="A100" s="2" t="s">
        <v>89</v>
      </c>
      <c r="B100" s="2" t="s">
        <v>7</v>
      </c>
      <c r="C100" s="2" t="str">
        <f>_xlfn.IFNA(VLOOKUP(B100,Metadata!$G$1:$H$8,2,),"-")</f>
        <v>0-2 yrs</v>
      </c>
      <c r="D100" s="3" t="str">
        <f>_xlfn.CONCAT(A100,"_",B100)</f>
        <v>Mulesoft_IS1</v>
      </c>
      <c r="E100" s="22" t="s">
        <v>90</v>
      </c>
      <c r="F100" s="2"/>
    </row>
    <row r="101" spans="1:6" ht="15.75" customHeight="1">
      <c r="A101" s="2" t="s">
        <v>89</v>
      </c>
      <c r="B101" s="2" t="s">
        <v>9</v>
      </c>
      <c r="C101" s="2" t="str">
        <f>_xlfn.IFNA(VLOOKUP(B101,Metadata!$G$1:$H$8,2,),"-")</f>
        <v>2-5 yrs</v>
      </c>
      <c r="D101" s="3" t="str">
        <f>_xlfn.CONCAT(A101,"_",B101)</f>
        <v>Mulesoft_IS2</v>
      </c>
      <c r="E101" s="22" t="s">
        <v>91</v>
      </c>
      <c r="F101" s="2"/>
    </row>
    <row r="102" spans="1:6" ht="15.75" customHeight="1">
      <c r="A102" s="2" t="s">
        <v>89</v>
      </c>
      <c r="B102" s="2" t="s">
        <v>11</v>
      </c>
      <c r="C102" s="2" t="str">
        <f>_xlfn.IFNA(VLOOKUP(B102,Metadata!$G$1:$H$8,2,),"-")</f>
        <v>5-7 yrs</v>
      </c>
      <c r="D102" s="3" t="str">
        <f>_xlfn.CONCAT(A102,"_",B102)</f>
        <v>Mulesoft_IS3</v>
      </c>
      <c r="E102" s="22" t="s">
        <v>92</v>
      </c>
      <c r="F102" s="2"/>
    </row>
    <row r="103" spans="1:6" ht="65.099999999999994" customHeight="1">
      <c r="A103" s="2" t="s">
        <v>89</v>
      </c>
      <c r="B103" s="2" t="s">
        <v>13</v>
      </c>
      <c r="C103" s="2" t="str">
        <f>_xlfn.IFNA(VLOOKUP(B103,Metadata!$G$1:$H$8,2,),"-")</f>
        <v>7-10 yrs</v>
      </c>
      <c r="D103" s="3" t="str">
        <f>_xlfn.CONCAT(A103,"_",B103)</f>
        <v>Mulesoft_IS4</v>
      </c>
      <c r="E103" s="22" t="s">
        <v>93</v>
      </c>
      <c r="F103" s="2"/>
    </row>
    <row r="104" spans="1:6" ht="15.75" customHeight="1">
      <c r="A104" s="2" t="s">
        <v>89</v>
      </c>
      <c r="B104" s="2" t="s">
        <v>18</v>
      </c>
      <c r="C104" s="2" t="str">
        <f>_xlfn.IFNA(VLOOKUP(B104,Metadata!$G$1:$H$8,2,),"-")</f>
        <v>10-15 yrs</v>
      </c>
      <c r="D104" s="3" t="str">
        <f>_xlfn.CONCAT(A104,"_",B104)</f>
        <v>Mulesoft_IS5</v>
      </c>
      <c r="E104" s="22" t="s">
        <v>94</v>
      </c>
      <c r="F104" s="2"/>
    </row>
    <row r="105" spans="1:6" ht="15.75" customHeight="1">
      <c r="A105" s="7"/>
      <c r="B105" s="7"/>
      <c r="C105" s="7"/>
      <c r="D105" s="7"/>
      <c r="E105" s="20"/>
      <c r="F105" s="8"/>
    </row>
    <row r="106" spans="1:6" ht="15.75" customHeight="1">
      <c r="A106" s="2" t="s">
        <v>95</v>
      </c>
      <c r="B106" s="2" t="s">
        <v>7</v>
      </c>
      <c r="C106" s="2" t="str">
        <f>_xlfn.IFNA(VLOOKUP(B106,Metadata!$G$1:$H$8,2,),"-")</f>
        <v>0-2 yrs</v>
      </c>
      <c r="D106" s="3" t="str">
        <f>_xlfn.CONCAT(A106,"_",B106)</f>
        <v>Talend_IS1</v>
      </c>
      <c r="E106" s="22" t="s">
        <v>96</v>
      </c>
      <c r="F106" s="2"/>
    </row>
    <row r="107" spans="1:6" ht="15.75" customHeight="1">
      <c r="A107" s="2" t="s">
        <v>95</v>
      </c>
      <c r="B107" s="2" t="s">
        <v>9</v>
      </c>
      <c r="C107" s="2" t="str">
        <f>_xlfn.IFNA(VLOOKUP(B107,Metadata!$G$1:$H$8,2,),"-")</f>
        <v>2-5 yrs</v>
      </c>
      <c r="D107" s="3" t="str">
        <f>_xlfn.CONCAT(A107,"_",B107)</f>
        <v>Talend_IS2</v>
      </c>
      <c r="E107" s="22" t="s">
        <v>97</v>
      </c>
      <c r="F107" s="2"/>
    </row>
    <row r="108" spans="1:6" ht="15.75" customHeight="1">
      <c r="A108" s="2" t="s">
        <v>95</v>
      </c>
      <c r="B108" s="2" t="s">
        <v>11</v>
      </c>
      <c r="C108" s="2" t="str">
        <f>_xlfn.IFNA(VLOOKUP(B108,Metadata!$G$1:$H$8,2,),"-")</f>
        <v>5-7 yrs</v>
      </c>
      <c r="D108" s="3" t="str">
        <f>_xlfn.CONCAT(A108,"_",B108)</f>
        <v>Talend_IS3</v>
      </c>
      <c r="E108" s="22" t="s">
        <v>98</v>
      </c>
      <c r="F108" s="2"/>
    </row>
    <row r="109" spans="1:6" ht="15.75" customHeight="1">
      <c r="A109" s="2" t="s">
        <v>95</v>
      </c>
      <c r="B109" s="2" t="s">
        <v>13</v>
      </c>
      <c r="C109" s="2" t="str">
        <f>_xlfn.IFNA(VLOOKUP(B109,Metadata!$G$1:$H$8,2,),"-")</f>
        <v>7-10 yrs</v>
      </c>
      <c r="D109" s="3" t="str">
        <f>_xlfn.CONCAT(A109,"_",B109)</f>
        <v>Talend_IS4</v>
      </c>
      <c r="E109" s="18" t="s">
        <v>99</v>
      </c>
      <c r="F109" s="2"/>
    </row>
    <row r="110" spans="1:6" ht="15.75" customHeight="1">
      <c r="A110" s="7"/>
      <c r="B110" s="7"/>
      <c r="C110" s="7"/>
      <c r="D110" s="7"/>
      <c r="E110" s="20"/>
      <c r="F110" s="8"/>
    </row>
    <row r="111" spans="1:6" ht="15.75" customHeight="1">
      <c r="A111" s="2" t="s">
        <v>100</v>
      </c>
      <c r="B111" s="2" t="s">
        <v>7</v>
      </c>
      <c r="C111" s="2" t="str">
        <f>_xlfn.IFNA(VLOOKUP(B111,Metadata!$G$1:$H$8,2,),"-")</f>
        <v>0-2 yrs</v>
      </c>
      <c r="D111" s="3" t="str">
        <f>_xlfn.CONCAT(A111,"_",B111)</f>
        <v>EDI_IS1</v>
      </c>
      <c r="E111" s="22" t="s">
        <v>101</v>
      </c>
      <c r="F111" s="2"/>
    </row>
    <row r="112" spans="1:6" ht="15.75" customHeight="1">
      <c r="A112" s="2" t="s">
        <v>100</v>
      </c>
      <c r="B112" s="2" t="s">
        <v>9</v>
      </c>
      <c r="C112" s="2" t="str">
        <f>_xlfn.IFNA(VLOOKUP(B112,Metadata!$G$1:$H$8,2,),"-")</f>
        <v>2-5 yrs</v>
      </c>
      <c r="D112" s="3" t="str">
        <f>_xlfn.CONCAT(A112,"_",B112)</f>
        <v>EDI_IS2</v>
      </c>
      <c r="E112" s="22" t="s">
        <v>101</v>
      </c>
      <c r="F112" s="2"/>
    </row>
    <row r="113" spans="1:6" ht="15.75" customHeight="1">
      <c r="A113" s="2" t="s">
        <v>100</v>
      </c>
      <c r="B113" s="2" t="s">
        <v>11</v>
      </c>
      <c r="C113" s="2" t="str">
        <f>_xlfn.IFNA(VLOOKUP(B113,Metadata!$G$1:$H$8,2,),"-")</f>
        <v>5-7 yrs</v>
      </c>
      <c r="D113" s="3" t="str">
        <f>_xlfn.CONCAT(A113,"_",B113)</f>
        <v>EDI_IS3</v>
      </c>
      <c r="E113" s="22" t="s">
        <v>101</v>
      </c>
      <c r="F113" s="2"/>
    </row>
    <row r="114" spans="1:6" ht="15.75" customHeight="1">
      <c r="A114" s="7"/>
      <c r="B114" s="7"/>
      <c r="C114" s="7"/>
      <c r="D114" s="7"/>
      <c r="E114" s="20"/>
      <c r="F114" s="8"/>
    </row>
    <row r="115" spans="1:6" ht="15.75" customHeight="1">
      <c r="A115" s="2" t="s">
        <v>102</v>
      </c>
      <c r="B115" s="2" t="s">
        <v>7</v>
      </c>
      <c r="C115" s="2" t="str">
        <f>_xlfn.IFNA(VLOOKUP(B115,Metadata!$G$1:$H$8,2,),"-")</f>
        <v>0-2 yrs</v>
      </c>
      <c r="D115" s="3" t="str">
        <f>_xlfn.CONCAT(A115,"_",B115)</f>
        <v>Axway_IS1</v>
      </c>
      <c r="E115" s="22" t="s">
        <v>103</v>
      </c>
      <c r="F115" s="2"/>
    </row>
    <row r="116" spans="1:6" ht="15.75" customHeight="1">
      <c r="A116" s="2" t="s">
        <v>102</v>
      </c>
      <c r="B116" s="2" t="s">
        <v>9</v>
      </c>
      <c r="C116" s="2" t="str">
        <f>_xlfn.IFNA(VLOOKUP(B116,Metadata!$G$1:$H$8,2,),"-")</f>
        <v>2-5 yrs</v>
      </c>
      <c r="D116" s="3" t="str">
        <f>_xlfn.CONCAT(A116,"_",B116)</f>
        <v>Axway_IS2</v>
      </c>
      <c r="E116" s="22" t="s">
        <v>104</v>
      </c>
      <c r="F116" s="2"/>
    </row>
    <row r="117" spans="1:6" ht="15.75" customHeight="1">
      <c r="A117" s="2" t="s">
        <v>102</v>
      </c>
      <c r="B117" s="2" t="s">
        <v>11</v>
      </c>
      <c r="C117" s="2" t="str">
        <f>_xlfn.IFNA(VLOOKUP(B117,Metadata!$G$1:$H$8,2,),"-")</f>
        <v>5-7 yrs</v>
      </c>
      <c r="D117" s="3" t="str">
        <f>_xlfn.CONCAT(A117,"_",B117)</f>
        <v>Axway_IS3</v>
      </c>
      <c r="E117" s="22" t="s">
        <v>105</v>
      </c>
      <c r="F117" s="2"/>
    </row>
    <row r="118" spans="1:6" ht="15.75" customHeight="1">
      <c r="A118" s="2" t="s">
        <v>102</v>
      </c>
      <c r="B118" s="2" t="s">
        <v>13</v>
      </c>
      <c r="C118" s="2" t="str">
        <f>_xlfn.IFNA(VLOOKUP(B118,Metadata!$G$1:$H$8,2,),"-")</f>
        <v>7-10 yrs</v>
      </c>
      <c r="D118" s="3" t="str">
        <f>_xlfn.CONCAT(A118,"_",B118)</f>
        <v>Axway_IS4</v>
      </c>
      <c r="E118" s="22" t="s">
        <v>106</v>
      </c>
      <c r="F118" s="2"/>
    </row>
    <row r="119" spans="1:6" ht="15.75" customHeight="1">
      <c r="A119" s="7"/>
      <c r="B119" s="7"/>
      <c r="C119" s="7"/>
      <c r="D119" s="7"/>
      <c r="E119" s="21"/>
      <c r="F119" s="7"/>
    </row>
    <row r="120" spans="1:6" ht="15.75" customHeight="1">
      <c r="A120" s="2" t="s">
        <v>107</v>
      </c>
      <c r="B120" s="2" t="s">
        <v>9</v>
      </c>
      <c r="C120" s="2" t="str">
        <f>_xlfn.IFNA(VLOOKUP(B120,Metadata!$G$1:$H$8,2,),"-")</f>
        <v>2-5 yrs</v>
      </c>
      <c r="D120" s="3" t="str">
        <f>_xlfn.CONCAT(A120,"_",B120)</f>
        <v>ADO_IS2</v>
      </c>
      <c r="E120" s="60" t="s">
        <v>108</v>
      </c>
      <c r="F120" s="2"/>
    </row>
    <row r="121" spans="1:6" ht="15.75" customHeight="1">
      <c r="A121" s="2" t="s">
        <v>107</v>
      </c>
      <c r="B121" s="2" t="s">
        <v>11</v>
      </c>
      <c r="C121" s="2" t="str">
        <f>_xlfn.IFNA(VLOOKUP(B121,Metadata!$G$1:$H$8,2,),"-")</f>
        <v>5-7 yrs</v>
      </c>
      <c r="D121" s="3" t="str">
        <f>_xlfn.CONCAT(A121,"_",B121)</f>
        <v>ADO_IS3</v>
      </c>
      <c r="E121" s="48" t="s">
        <v>109</v>
      </c>
      <c r="F121" s="2"/>
    </row>
    <row r="122" spans="1:6" ht="15.75" customHeight="1">
      <c r="A122" s="2" t="s">
        <v>107</v>
      </c>
      <c r="B122" s="2" t="s">
        <v>13</v>
      </c>
      <c r="C122" s="2" t="str">
        <f>_xlfn.IFNA(VLOOKUP(B122,Metadata!$G$1:$H$8,2,),"-")</f>
        <v>7-10 yrs</v>
      </c>
      <c r="D122" s="3" t="str">
        <f>_xlfn.CONCAT(A122,"_",B122)</f>
        <v>ADO_IS4</v>
      </c>
      <c r="E122" s="60" t="s">
        <v>110</v>
      </c>
      <c r="F122" s="2"/>
    </row>
    <row r="123" spans="1:6" ht="15.75" customHeight="1">
      <c r="A123" s="7"/>
      <c r="B123" s="7"/>
      <c r="C123" s="7"/>
      <c r="D123" s="7"/>
      <c r="E123" s="21"/>
      <c r="F123" s="7"/>
    </row>
    <row r="124" spans="1:6" ht="15.75" customHeight="1">
      <c r="A124" s="2" t="s">
        <v>111</v>
      </c>
      <c r="B124" s="2" t="s">
        <v>13</v>
      </c>
      <c r="C124" s="2" t="str">
        <f>_xlfn.IFNA(VLOOKUP(B124,Metadata!$G$1:$H$8,2,),"-")</f>
        <v>7-10 yrs</v>
      </c>
      <c r="D124" s="3" t="str">
        <f>_xlfn.CONCAT(A124,"_",B124)</f>
        <v>Scrum Master_SFDC_IS4</v>
      </c>
      <c r="E124" s="46" t="s">
        <v>112</v>
      </c>
      <c r="F124" s="4"/>
    </row>
    <row r="125" spans="1:6" ht="15.75" customHeight="1">
      <c r="A125" s="7"/>
      <c r="B125" s="7"/>
      <c r="C125" s="7"/>
      <c r="D125" s="7"/>
      <c r="E125" s="20"/>
      <c r="F125" s="8"/>
    </row>
    <row r="126" spans="1:6" ht="15.75" customHeight="1">
      <c r="A126" s="2" t="s">
        <v>113</v>
      </c>
      <c r="B126" s="2" t="s">
        <v>13</v>
      </c>
      <c r="C126" s="2" t="str">
        <f>_xlfn.IFNA(VLOOKUP(B126,Metadata!$G$1:$H$8,2,),"-")</f>
        <v>7-10 yrs</v>
      </c>
      <c r="D126" s="3" t="str">
        <f>_xlfn.CONCAT(A126,"_",B126)</f>
        <v>Business Analyst_IS4</v>
      </c>
      <c r="E126" s="46" t="s">
        <v>114</v>
      </c>
      <c r="F126" s="4"/>
    </row>
    <row r="127" spans="1:6" ht="15.75" customHeight="1">
      <c r="A127" s="2" t="s">
        <v>113</v>
      </c>
      <c r="B127" s="2" t="s">
        <v>13</v>
      </c>
      <c r="C127" s="2" t="str">
        <f>_xlfn.IFNA(VLOOKUP(B127,Metadata!$G$1:$H$8,2,),"-")</f>
        <v>7-10 yrs</v>
      </c>
      <c r="D127" s="3" t="str">
        <f>_xlfn.CONCAT(A127,"_",B127)</f>
        <v>Business Analyst_IS4</v>
      </c>
      <c r="E127" s="46" t="s">
        <v>115</v>
      </c>
      <c r="F127" s="4"/>
    </row>
    <row r="128" spans="1:6" ht="15.75" customHeight="1">
      <c r="A128" s="7"/>
      <c r="B128" s="7"/>
      <c r="C128" s="7"/>
      <c r="D128" s="7"/>
      <c r="E128" s="20"/>
      <c r="F128" s="8"/>
    </row>
    <row r="129" spans="1:6" ht="15.75" customHeight="1">
      <c r="A129" s="2" t="s">
        <v>116</v>
      </c>
      <c r="B129" s="2" t="s">
        <v>18</v>
      </c>
      <c r="C129" s="2" t="str">
        <f>_xlfn.IFNA(VLOOKUP(B129,Metadata!$G$1:$H$8,2,),"-")</f>
        <v>10-15 yrs</v>
      </c>
      <c r="D129" s="3" t="str">
        <f>_xlfn.CONCAT(A129,"_",B129)</f>
        <v>Service Delivery Manager_IS5</v>
      </c>
      <c r="E129" s="18" t="s">
        <v>117</v>
      </c>
      <c r="F129" s="2"/>
    </row>
    <row r="130" spans="1:6" ht="15.75" customHeight="1">
      <c r="A130" s="2" t="s">
        <v>118</v>
      </c>
      <c r="B130" s="2" t="s">
        <v>13</v>
      </c>
      <c r="C130" s="2" t="str">
        <f>_xlfn.IFNA(VLOOKUP(B130,Metadata!$G$1:$H$8,2,),"-")</f>
        <v>7-10 yrs</v>
      </c>
      <c r="D130" s="3" t="str">
        <f>_xlfn.CONCAT(A130,"_",B130)</f>
        <v>Service Manager_IS4</v>
      </c>
      <c r="E130" s="18" t="s">
        <v>119</v>
      </c>
      <c r="F130" s="2"/>
    </row>
    <row r="131" spans="1:6" ht="15.75" customHeight="1">
      <c r="A131" s="7"/>
      <c r="B131" s="7"/>
      <c r="C131" s="7"/>
      <c r="D131" s="7"/>
      <c r="E131" s="20"/>
      <c r="F131" s="8"/>
    </row>
    <row r="132" spans="1:6" ht="15.75" customHeight="1">
      <c r="A132" s="2" t="s">
        <v>120</v>
      </c>
      <c r="B132" s="2" t="s">
        <v>7</v>
      </c>
      <c r="C132" s="2" t="str">
        <f>_xlfn.IFNA(VLOOKUP(B132,Metadata!$G$1:$H$8,2,),"-")</f>
        <v>0-2 yrs</v>
      </c>
      <c r="D132" s="3" t="str">
        <f>_xlfn.CONCAT(A132,"_",B132)</f>
        <v>SF CRM_IS1</v>
      </c>
      <c r="E132" s="18" t="s">
        <v>121</v>
      </c>
      <c r="F132" s="2"/>
    </row>
    <row r="133" spans="1:6" ht="15.75" customHeight="1">
      <c r="A133" s="2" t="s">
        <v>120</v>
      </c>
      <c r="B133" s="2" t="s">
        <v>9</v>
      </c>
      <c r="C133" s="2" t="str">
        <f>_xlfn.IFNA(VLOOKUP(B133,Metadata!$G$1:$H$8,2,),"-")</f>
        <v>2-5 yrs</v>
      </c>
      <c r="D133" s="3" t="str">
        <f>_xlfn.CONCAT(A133,"_",B133)</f>
        <v>SF CRM_IS2</v>
      </c>
      <c r="E133" s="18" t="s">
        <v>121</v>
      </c>
      <c r="F133" s="2"/>
    </row>
    <row r="134" spans="1:6" ht="15.75" customHeight="1">
      <c r="A134" s="2" t="s">
        <v>120</v>
      </c>
      <c r="B134" s="2" t="s">
        <v>11</v>
      </c>
      <c r="C134" s="2" t="str">
        <f>_xlfn.IFNA(VLOOKUP(B134,Metadata!$G$1:$H$8,2,),"-")</f>
        <v>5-7 yrs</v>
      </c>
      <c r="D134" s="3" t="str">
        <f>_xlfn.CONCAT(A134,"_",B134)</f>
        <v>SF CRM_IS3</v>
      </c>
      <c r="E134" s="22" t="s">
        <v>122</v>
      </c>
      <c r="F134" s="2"/>
    </row>
    <row r="135" spans="1:6" ht="15.75" customHeight="1">
      <c r="A135" s="2" t="s">
        <v>120</v>
      </c>
      <c r="B135" s="2" t="s">
        <v>13</v>
      </c>
      <c r="C135" s="2" t="str">
        <f>_xlfn.IFNA(VLOOKUP(B135,Metadata!$G$1:$H$8,2,),"-")</f>
        <v>7-10 yrs</v>
      </c>
      <c r="D135" s="3" t="str">
        <f>_xlfn.CONCAT(A135,"_",B135)</f>
        <v>SF CRM_IS4</v>
      </c>
      <c r="E135" s="22" t="s">
        <v>123</v>
      </c>
      <c r="F135" s="2"/>
    </row>
    <row r="136" spans="1:6" ht="15.75" customHeight="1">
      <c r="A136" s="7"/>
      <c r="B136" s="7"/>
      <c r="C136" s="7"/>
      <c r="D136" s="7"/>
      <c r="E136" s="20"/>
      <c r="F136" s="8"/>
    </row>
    <row r="137" spans="1:6" ht="15.75" customHeight="1">
      <c r="A137" s="2" t="s">
        <v>124</v>
      </c>
      <c r="B137" s="2" t="s">
        <v>7</v>
      </c>
      <c r="C137" s="2" t="str">
        <f>_xlfn.IFNA(VLOOKUP(B137,Metadata!$G$1:$H$8,2,),"-")</f>
        <v>0-2 yrs</v>
      </c>
      <c r="D137" s="3" t="str">
        <f>_xlfn.CONCAT(A137,"_",B137)</f>
        <v>SF SVC_IS1</v>
      </c>
      <c r="E137" s="22" t="s">
        <v>125</v>
      </c>
      <c r="F137" s="2"/>
    </row>
    <row r="138" spans="1:6" ht="15.75" customHeight="1">
      <c r="A138" s="2" t="s">
        <v>124</v>
      </c>
      <c r="B138" s="2" t="s">
        <v>9</v>
      </c>
      <c r="C138" s="2" t="str">
        <f>_xlfn.IFNA(VLOOKUP(B138,Metadata!$G$1:$H$8,2,),"-")</f>
        <v>2-5 yrs</v>
      </c>
      <c r="D138" s="3" t="str">
        <f>_xlfn.CONCAT(A138,"_",B138)</f>
        <v>SF SVC_IS2</v>
      </c>
      <c r="E138" s="22" t="s">
        <v>125</v>
      </c>
      <c r="F138" s="2"/>
    </row>
    <row r="139" spans="1:6" ht="15.75" customHeight="1">
      <c r="A139" s="2" t="s">
        <v>124</v>
      </c>
      <c r="B139" s="2" t="s">
        <v>11</v>
      </c>
      <c r="C139" s="2" t="str">
        <f>_xlfn.IFNA(VLOOKUP(B139,Metadata!$G$1:$H$8,2,),"-")</f>
        <v>5-7 yrs</v>
      </c>
      <c r="D139" s="3" t="str">
        <f>_xlfn.CONCAT(A139,"_",B139)</f>
        <v>SF SVC_IS3</v>
      </c>
      <c r="E139" s="22" t="s">
        <v>126</v>
      </c>
      <c r="F139" s="2"/>
    </row>
    <row r="140" spans="1:6" ht="15.75" customHeight="1">
      <c r="A140" s="2" t="s">
        <v>124</v>
      </c>
      <c r="B140" s="2" t="s">
        <v>13</v>
      </c>
      <c r="C140" s="2" t="str">
        <f>_xlfn.IFNA(VLOOKUP(B140,Metadata!$G$1:$H$8,2,),"-")</f>
        <v>7-10 yrs</v>
      </c>
      <c r="D140" s="3" t="str">
        <f>_xlfn.CONCAT(A140,"_",B140)</f>
        <v>SF SVC_IS4</v>
      </c>
      <c r="E140" s="22" t="s">
        <v>127</v>
      </c>
      <c r="F140" s="2"/>
    </row>
    <row r="141" spans="1:6" ht="15.75" customHeight="1">
      <c r="A141" s="7"/>
      <c r="B141" s="7"/>
      <c r="C141" s="7"/>
      <c r="D141" s="7"/>
      <c r="E141" s="20"/>
      <c r="F141" s="8"/>
    </row>
    <row r="142" spans="1:6" ht="15.75" customHeight="1">
      <c r="A142" s="2" t="s">
        <v>128</v>
      </c>
      <c r="B142" s="2" t="s">
        <v>7</v>
      </c>
      <c r="C142" s="2" t="str">
        <f>_xlfn.IFNA(VLOOKUP(B142,Metadata!$G$1:$H$8,2,),"-")</f>
        <v>0-2 yrs</v>
      </c>
      <c r="D142" s="3" t="str">
        <f>_xlfn.CONCAT(A142,"_",B142)</f>
        <v>SF MKT_IS1</v>
      </c>
      <c r="E142" s="22" t="s">
        <v>129</v>
      </c>
      <c r="F142" s="2"/>
    </row>
    <row r="143" spans="1:6" ht="15.75" customHeight="1">
      <c r="A143" s="2" t="s">
        <v>128</v>
      </c>
      <c r="B143" s="2" t="s">
        <v>9</v>
      </c>
      <c r="C143" s="2" t="str">
        <f>_xlfn.IFNA(VLOOKUP(B143,Metadata!$G$1:$H$8,2,),"-")</f>
        <v>2-5 yrs</v>
      </c>
      <c r="D143" s="3" t="str">
        <f>_xlfn.CONCAT(A143,"_",B143)</f>
        <v>SF MKT_IS2</v>
      </c>
      <c r="E143" s="22" t="s">
        <v>129</v>
      </c>
      <c r="F143" s="2"/>
    </row>
    <row r="144" spans="1:6" ht="15.75" customHeight="1">
      <c r="A144" s="2" t="s">
        <v>128</v>
      </c>
      <c r="B144" s="2" t="s">
        <v>11</v>
      </c>
      <c r="C144" s="2" t="str">
        <f>_xlfn.IFNA(VLOOKUP(B144,Metadata!$G$1:$H$8,2,),"-")</f>
        <v>5-7 yrs</v>
      </c>
      <c r="D144" s="3" t="str">
        <f>_xlfn.CONCAT(A144,"_",B144)</f>
        <v>SF MKT_IS3</v>
      </c>
      <c r="E144" s="22" t="s">
        <v>130</v>
      </c>
      <c r="F144" s="2"/>
    </row>
    <row r="145" spans="1:6" ht="15.75" customHeight="1">
      <c r="A145" s="2" t="s">
        <v>128</v>
      </c>
      <c r="B145" s="2" t="s">
        <v>13</v>
      </c>
      <c r="C145" s="2" t="str">
        <f>_xlfn.IFNA(VLOOKUP(B145,Metadata!$G$1:$H$8,2,),"-")</f>
        <v>7-10 yrs</v>
      </c>
      <c r="D145" s="3" t="str">
        <f>_xlfn.CONCAT(A145,"_",B145)</f>
        <v>SF MKT_IS4</v>
      </c>
      <c r="E145" s="22" t="s">
        <v>127</v>
      </c>
      <c r="F145" s="2"/>
    </row>
    <row r="146" spans="1:6" ht="15.75" customHeight="1">
      <c r="A146" s="7"/>
      <c r="B146" s="7"/>
      <c r="C146" s="7"/>
      <c r="D146" s="7"/>
      <c r="E146" s="21"/>
      <c r="F146" s="7"/>
    </row>
    <row r="147" spans="1:6" ht="15.75" customHeight="1">
      <c r="A147" s="2" t="s">
        <v>131</v>
      </c>
      <c r="B147" s="2" t="s">
        <v>11</v>
      </c>
      <c r="C147" s="2" t="str">
        <f>_xlfn.IFNA(VLOOKUP(B147,Metadata!$G$1:$H$8,2,),"-")</f>
        <v>5-7 yrs</v>
      </c>
      <c r="D147" s="3" t="str">
        <f>_xlfn.CONCAT(A147,"_",B147)</f>
        <v>DevOps Engineer_IS3</v>
      </c>
      <c r="E147" s="22" t="s">
        <v>132</v>
      </c>
      <c r="F147" s="2"/>
    </row>
    <row r="148" spans="1:6" ht="15.75" customHeight="1">
      <c r="A148" s="7"/>
      <c r="B148" s="7"/>
      <c r="C148" s="7"/>
      <c r="D148" s="7"/>
      <c r="E148" s="21"/>
      <c r="F148" s="7"/>
    </row>
    <row r="149" spans="1:6" ht="110.25" customHeight="1">
      <c r="A149" s="2" t="s">
        <v>128</v>
      </c>
      <c r="B149" s="2" t="s">
        <v>7</v>
      </c>
      <c r="C149" s="2" t="str">
        <f>_xlfn.IFNA(VLOOKUP(B149,Metadata!$G$1:$H$8,2,),"-")</f>
        <v>0-2 yrs</v>
      </c>
      <c r="D149" s="3" t="str">
        <f>_xlfn.CONCAT(A149,"_",B149)</f>
        <v>SF MKT_IS1</v>
      </c>
      <c r="E149" s="22" t="s">
        <v>129</v>
      </c>
      <c r="F149" s="2"/>
    </row>
    <row r="150" spans="1:6" ht="15.75" customHeight="1">
      <c r="A150" s="7"/>
      <c r="B150" s="7"/>
      <c r="C150" s="7"/>
      <c r="D150" s="7"/>
      <c r="E150" s="21"/>
      <c r="F150" s="7"/>
    </row>
    <row r="151" spans="1:6" ht="15.75" customHeight="1">
      <c r="A151" s="2" t="s">
        <v>133</v>
      </c>
      <c r="B151" s="2" t="s">
        <v>11</v>
      </c>
      <c r="C151" s="2" t="str">
        <f>_xlfn.IFNA(VLOOKUP(B151,Metadata!$G$1:$H$8,2,),"-")</f>
        <v>5-7 yrs</v>
      </c>
      <c r="D151" s="3" t="str">
        <f>_xlfn.CONCAT(A151,"_",B151)</f>
        <v>Dell Boomi_IS3</v>
      </c>
      <c r="E151" s="49" t="s">
        <v>134</v>
      </c>
      <c r="F151" s="2"/>
    </row>
    <row r="152" spans="1:6" ht="15.75" customHeight="1">
      <c r="A152" s="2" t="s">
        <v>133</v>
      </c>
      <c r="B152" s="2" t="s">
        <v>13</v>
      </c>
      <c r="C152" s="2" t="str">
        <f>_xlfn.IFNA(VLOOKUP(B152,Metadata!$G$1:$H$8,2,),"-")</f>
        <v>7-10 yrs</v>
      </c>
      <c r="D152" s="3" t="str">
        <f>_xlfn.CONCAT(A152,"_",B152)</f>
        <v>Dell Boomi_IS4</v>
      </c>
      <c r="E152" s="49" t="s">
        <v>135</v>
      </c>
      <c r="F152" s="2"/>
    </row>
    <row r="153" spans="1:6" ht="15.75" customHeight="1">
      <c r="A153" s="2" t="s">
        <v>136</v>
      </c>
      <c r="B153" s="2" t="s">
        <v>7</v>
      </c>
      <c r="C153" s="2" t="str">
        <f>_xlfn.IFNA(VLOOKUP(B153,Metadata!$G$1:$H$8,2,),"-")</f>
        <v>0-2 yrs</v>
      </c>
      <c r="D153" s="3" t="str">
        <f t="shared" ref="D153:D181" si="2">_xlfn.CONCAT(A153,"_",B153)</f>
        <v>Labware_IS1</v>
      </c>
      <c r="E153" s="22" t="s">
        <v>137</v>
      </c>
      <c r="F153" s="2"/>
    </row>
    <row r="154" spans="1:6" ht="15.75" customHeight="1">
      <c r="A154" s="2" t="s">
        <v>136</v>
      </c>
      <c r="B154" s="2" t="s">
        <v>9</v>
      </c>
      <c r="C154" s="2" t="str">
        <f>_xlfn.IFNA(VLOOKUP(B154,Metadata!$G$1:$H$8,2,),"-")</f>
        <v>2-5 yrs</v>
      </c>
      <c r="D154" s="3" t="str">
        <f t="shared" si="2"/>
        <v>Labware_IS2</v>
      </c>
      <c r="E154" s="22" t="s">
        <v>137</v>
      </c>
      <c r="F154" s="2"/>
    </row>
    <row r="155" spans="1:6" ht="15.75" customHeight="1">
      <c r="A155" s="2" t="s">
        <v>136</v>
      </c>
      <c r="B155" s="2" t="s">
        <v>11</v>
      </c>
      <c r="C155" s="2" t="str">
        <f>_xlfn.IFNA(VLOOKUP(B155,Metadata!$G$1:$H$8,2,),"-")</f>
        <v>5-7 yrs</v>
      </c>
      <c r="D155" s="3" t="str">
        <f t="shared" si="2"/>
        <v>Labware_IS3</v>
      </c>
      <c r="E155" s="22" t="s">
        <v>137</v>
      </c>
      <c r="F155" s="2"/>
    </row>
    <row r="156" spans="1:6" ht="15.75" customHeight="1">
      <c r="A156" s="2" t="s">
        <v>138</v>
      </c>
      <c r="B156" s="2" t="s">
        <v>9</v>
      </c>
      <c r="C156" s="2" t="str">
        <f>_xlfn.IFNA(VLOOKUP(B156,Metadata!$G$1:$H$8,2,),"-")</f>
        <v>2-5 yrs</v>
      </c>
      <c r="D156" s="3" t="str">
        <f t="shared" si="2"/>
        <v>Docusign_IS2</v>
      </c>
      <c r="E156" s="22" t="s">
        <v>139</v>
      </c>
      <c r="F156" s="2"/>
    </row>
    <row r="157" spans="1:6" ht="15.75" customHeight="1">
      <c r="A157" s="2" t="s">
        <v>140</v>
      </c>
      <c r="B157" s="2" t="s">
        <v>9</v>
      </c>
      <c r="C157" s="2" t="str">
        <f>_xlfn.IFNA(VLOOKUP(B157,Metadata!$G$1:$H$8,2,),"-")</f>
        <v>2-5 yrs</v>
      </c>
      <c r="D157" s="3" t="str">
        <f>_xlfn.CONCAT(A157,"_",B157)</f>
        <v>SAP Fieldglass_IS2</v>
      </c>
      <c r="E157" s="22" t="s">
        <v>141</v>
      </c>
      <c r="F157" s="2"/>
    </row>
    <row r="158" spans="1:6" ht="15.75" customHeight="1">
      <c r="A158" s="2" t="s">
        <v>140</v>
      </c>
      <c r="B158" s="2" t="s">
        <v>11</v>
      </c>
      <c r="C158" s="2" t="str">
        <f>_xlfn.IFNA(VLOOKUP(B158,Metadata!$G$1:$H$8,2,),"-")</f>
        <v>5-7 yrs</v>
      </c>
      <c r="D158" s="3" t="str">
        <f t="shared" si="2"/>
        <v>SAP Fieldglass_IS3</v>
      </c>
      <c r="E158" s="22" t="s">
        <v>142</v>
      </c>
      <c r="F158" s="2"/>
    </row>
    <row r="159" spans="1:6" ht="15.75" customHeight="1">
      <c r="A159" s="2" t="s">
        <v>143</v>
      </c>
      <c r="B159" s="2" t="s">
        <v>11</v>
      </c>
      <c r="C159" s="2" t="str">
        <f>_xlfn.IFNA(VLOOKUP(B159,Metadata!$G$1:$H$8,2,),"-")</f>
        <v>5-7 yrs</v>
      </c>
      <c r="D159" s="3" t="str">
        <f t="shared" si="2"/>
        <v>SAP Concur_IS3</v>
      </c>
      <c r="E159" s="22" t="s">
        <v>144</v>
      </c>
      <c r="F159" s="2"/>
    </row>
    <row r="160" spans="1:6" ht="15.75" customHeight="1">
      <c r="A160" s="2" t="s">
        <v>145</v>
      </c>
      <c r="B160" s="2" t="s">
        <v>18</v>
      </c>
      <c r="C160" s="2" t="str">
        <f>_xlfn.IFNA(VLOOKUP(B160,Metadata!$G$1:$H$8,2,),"-")</f>
        <v>10-15 yrs</v>
      </c>
      <c r="D160" s="3" t="str">
        <f t="shared" si="2"/>
        <v>Integration Service Delivery Manager_IS5</v>
      </c>
      <c r="E160" s="22" t="s">
        <v>86</v>
      </c>
      <c r="F160" s="2"/>
    </row>
    <row r="161" spans="1:5" customFormat="1" ht="409.5">
      <c r="A161" s="50" t="s">
        <v>146</v>
      </c>
      <c r="B161" s="50" t="s">
        <v>18</v>
      </c>
      <c r="C161" s="51" t="s">
        <v>147</v>
      </c>
      <c r="D161" s="52" t="str">
        <f t="shared" si="2"/>
        <v>Cloud DM-Onsite/KL_IS5</v>
      </c>
      <c r="E161" s="53" t="s">
        <v>148</v>
      </c>
    </row>
    <row r="162" spans="1:5" customFormat="1" ht="338.1">
      <c r="A162" s="50" t="s">
        <v>149</v>
      </c>
      <c r="B162" s="50" t="s">
        <v>18</v>
      </c>
      <c r="C162" s="1" t="s">
        <v>150</v>
      </c>
      <c r="D162" s="52" t="str">
        <f t="shared" si="2"/>
        <v>Azure Architect-Onsite/KL_IS5</v>
      </c>
      <c r="E162" s="16" t="s">
        <v>151</v>
      </c>
    </row>
    <row r="163" spans="1:5" customFormat="1" ht="324.95">
      <c r="A163" s="50" t="s">
        <v>152</v>
      </c>
      <c r="B163" s="50" t="s">
        <v>13</v>
      </c>
      <c r="C163" s="1" t="s">
        <v>150</v>
      </c>
      <c r="D163" s="52" t="str">
        <f t="shared" si="2"/>
        <v>AWS Architect-Onsite/Mexico_IS4</v>
      </c>
      <c r="E163" s="16" t="s">
        <v>153</v>
      </c>
    </row>
    <row r="164" spans="1:5" customFormat="1" ht="390">
      <c r="A164" s="50" t="s">
        <v>154</v>
      </c>
      <c r="B164" s="54" t="s">
        <v>13</v>
      </c>
      <c r="C164" s="1" t="s">
        <v>155</v>
      </c>
      <c r="D164" s="52" t="str">
        <f t="shared" si="2"/>
        <v>Azure SME/Technical Lead _IS4</v>
      </c>
      <c r="E164" s="16" t="s">
        <v>156</v>
      </c>
    </row>
    <row r="165" spans="1:5" customFormat="1" ht="390">
      <c r="A165" s="50" t="s">
        <v>154</v>
      </c>
      <c r="B165" s="54" t="s">
        <v>13</v>
      </c>
      <c r="C165" s="1" t="s">
        <v>155</v>
      </c>
      <c r="D165" s="52" t="str">
        <f t="shared" si="2"/>
        <v>Azure SME/Technical Lead _IS4</v>
      </c>
      <c r="E165" s="16" t="s">
        <v>156</v>
      </c>
    </row>
    <row r="166" spans="1:5" customFormat="1" ht="312">
      <c r="A166" s="50" t="s">
        <v>157</v>
      </c>
      <c r="B166" s="55" t="s">
        <v>13</v>
      </c>
      <c r="C166" s="1" t="s">
        <v>155</v>
      </c>
      <c r="D166" s="52" t="str">
        <f t="shared" si="2"/>
        <v>AWS SME_IS4</v>
      </c>
      <c r="E166" s="16" t="s">
        <v>158</v>
      </c>
    </row>
    <row r="167" spans="1:5" customFormat="1" ht="207.95">
      <c r="A167" s="50" t="s">
        <v>159</v>
      </c>
      <c r="B167" s="55" t="s">
        <v>7</v>
      </c>
      <c r="C167" s="1" t="s">
        <v>160</v>
      </c>
      <c r="D167" s="52" t="str">
        <f t="shared" si="2"/>
        <v>Cloud Monitoring Team_IS1</v>
      </c>
      <c r="E167" s="16" t="s">
        <v>161</v>
      </c>
    </row>
    <row r="168" spans="1:5" customFormat="1" ht="260.10000000000002">
      <c r="A168" s="50" t="s">
        <v>162</v>
      </c>
      <c r="B168" s="55" t="s">
        <v>9</v>
      </c>
      <c r="C168" s="1" t="s">
        <v>163</v>
      </c>
      <c r="D168" s="52" t="str">
        <f t="shared" si="2"/>
        <v>Cloud (Azure &amp; AWS) Admin_IS2</v>
      </c>
      <c r="E168" s="16" t="s">
        <v>164</v>
      </c>
    </row>
    <row r="169" spans="1:5" customFormat="1" ht="285.95">
      <c r="A169" s="50" t="s">
        <v>165</v>
      </c>
      <c r="B169" s="55" t="s">
        <v>11</v>
      </c>
      <c r="C169" s="1" t="s">
        <v>166</v>
      </c>
      <c r="D169" s="52" t="str">
        <f t="shared" si="2"/>
        <v>Azure SME_IS3</v>
      </c>
      <c r="E169" s="16" t="s">
        <v>167</v>
      </c>
    </row>
    <row r="170" spans="1:5" customFormat="1" ht="285.95">
      <c r="A170" s="50" t="s">
        <v>168</v>
      </c>
      <c r="B170" s="55" t="s">
        <v>11</v>
      </c>
      <c r="C170" s="1" t="s">
        <v>166</v>
      </c>
      <c r="D170" s="52" t="str">
        <f t="shared" si="2"/>
        <v>Azure Admin_IS3</v>
      </c>
      <c r="E170" s="16" t="s">
        <v>167</v>
      </c>
    </row>
    <row r="171" spans="1:5" customFormat="1" ht="299.10000000000002">
      <c r="A171" s="56" t="s">
        <v>169</v>
      </c>
      <c r="B171" s="55" t="s">
        <v>11</v>
      </c>
      <c r="C171" s="1" t="s">
        <v>155</v>
      </c>
      <c r="D171" s="52" t="str">
        <f t="shared" si="2"/>
        <v>DevOps &amp; Automation SME_IS3</v>
      </c>
      <c r="E171" s="16" t="s">
        <v>170</v>
      </c>
    </row>
    <row r="172" spans="1:5" customFormat="1" ht="299.10000000000002">
      <c r="A172" s="56" t="s">
        <v>169</v>
      </c>
      <c r="B172" s="55" t="s">
        <v>13</v>
      </c>
      <c r="C172" s="1" t="s">
        <v>155</v>
      </c>
      <c r="D172" s="52" t="str">
        <f t="shared" si="2"/>
        <v>DevOps &amp; Automation SME_IS4</v>
      </c>
      <c r="E172" s="16" t="s">
        <v>170</v>
      </c>
    </row>
    <row r="173" spans="1:5" customFormat="1" ht="390">
      <c r="A173" s="57" t="s">
        <v>171</v>
      </c>
      <c r="B173" s="55" t="s">
        <v>11</v>
      </c>
      <c r="C173" s="1" t="s">
        <v>172</v>
      </c>
      <c r="D173" s="52" t="str">
        <f t="shared" si="2"/>
        <v>Cloud Security SME (WAF/Antimalware/Vulnerability)_IS3</v>
      </c>
      <c r="E173" s="16" t="s">
        <v>173</v>
      </c>
    </row>
    <row r="174" spans="1:5" customFormat="1" ht="390">
      <c r="A174" s="57" t="s">
        <v>171</v>
      </c>
      <c r="B174" s="55" t="s">
        <v>13</v>
      </c>
      <c r="C174" s="1" t="s">
        <v>174</v>
      </c>
      <c r="D174" s="52" t="str">
        <f t="shared" si="2"/>
        <v>Cloud Security SME (WAF/Antimalware/Vulnerability)_IS4</v>
      </c>
      <c r="E174" s="16" t="s">
        <v>175</v>
      </c>
    </row>
    <row r="175" spans="1:5" customFormat="1" ht="338.1">
      <c r="A175" s="57" t="s">
        <v>176</v>
      </c>
      <c r="B175" s="9" t="s">
        <v>11</v>
      </c>
      <c r="C175" s="1" t="s">
        <v>172</v>
      </c>
      <c r="D175" s="52" t="str">
        <f t="shared" si="2"/>
        <v>Cloud Security SME (Certificate &amp; PKI)_IS3</v>
      </c>
      <c r="E175" s="16" t="s">
        <v>177</v>
      </c>
    </row>
    <row r="176" spans="1:5" customFormat="1" ht="14.45">
      <c r="A176" s="56" t="s">
        <v>178</v>
      </c>
      <c r="B176" s="1" t="s">
        <v>11</v>
      </c>
      <c r="C176" s="1" t="s">
        <v>179</v>
      </c>
      <c r="D176" s="52" t="str">
        <f t="shared" si="2"/>
        <v>AWS Admin_IS3</v>
      </c>
      <c r="E176" s="46" t="s">
        <v>180</v>
      </c>
    </row>
    <row r="177" spans="1:5" customFormat="1" ht="20.25" customHeight="1">
      <c r="A177" s="56" t="s">
        <v>178</v>
      </c>
      <c r="B177" s="1" t="s">
        <v>11</v>
      </c>
      <c r="C177" s="1" t="s">
        <v>179</v>
      </c>
      <c r="D177" s="52" t="str">
        <f t="shared" si="2"/>
        <v>AWS Admin_IS3</v>
      </c>
      <c r="E177" s="16" t="s">
        <v>180</v>
      </c>
    </row>
    <row r="178" spans="1:5" customFormat="1" ht="312">
      <c r="A178" s="50" t="s">
        <v>157</v>
      </c>
      <c r="B178" s="55" t="s">
        <v>13</v>
      </c>
      <c r="C178" s="1" t="s">
        <v>155</v>
      </c>
      <c r="D178" s="52" t="str">
        <f t="shared" si="2"/>
        <v>AWS SME_IS4</v>
      </c>
      <c r="E178" s="16" t="s">
        <v>158</v>
      </c>
    </row>
    <row r="179" spans="1:5" customFormat="1" ht="312">
      <c r="A179" s="50" t="s">
        <v>181</v>
      </c>
      <c r="B179" s="55" t="s">
        <v>13</v>
      </c>
      <c r="C179" s="1" t="s">
        <v>155</v>
      </c>
      <c r="D179" s="52" t="str">
        <f t="shared" si="2"/>
        <v>AWS SME-Onsite/Mexico_IS4</v>
      </c>
      <c r="E179" s="16" t="s">
        <v>182</v>
      </c>
    </row>
    <row r="180" spans="1:5" customFormat="1" ht="391.5">
      <c r="A180" s="56" t="s">
        <v>183</v>
      </c>
      <c r="B180" s="1" t="s">
        <v>18</v>
      </c>
      <c r="C180" s="1" t="s">
        <v>150</v>
      </c>
      <c r="D180" s="52" t="str">
        <f t="shared" si="2"/>
        <v>AWS Architect-Onsite/USA_IS5</v>
      </c>
      <c r="E180" s="37" t="s">
        <v>184</v>
      </c>
    </row>
    <row r="181" spans="1:5" customFormat="1" ht="405.95">
      <c r="A181" s="56" t="s">
        <v>185</v>
      </c>
      <c r="B181" s="1" t="s">
        <v>13</v>
      </c>
      <c r="C181" s="1" t="s">
        <v>150</v>
      </c>
      <c r="D181" s="52" t="str">
        <f t="shared" si="2"/>
        <v>Project Manager_IS4</v>
      </c>
      <c r="E181" s="37" t="s">
        <v>186</v>
      </c>
    </row>
    <row r="182" spans="1:5" customFormat="1" ht="333.6">
      <c r="A182" s="58" t="s">
        <v>187</v>
      </c>
      <c r="B182" s="1" t="s">
        <v>9</v>
      </c>
      <c r="C182" s="1" t="s">
        <v>188</v>
      </c>
      <c r="D182" s="52" t="str">
        <f>_xlfn.CONCAT(A182,"_",B182)</f>
        <v>MS SQL DBA_IS2</v>
      </c>
      <c r="E182" s="37" t="s">
        <v>189</v>
      </c>
    </row>
    <row r="183" spans="1:5" customFormat="1" ht="349.5" customHeight="1">
      <c r="A183" s="58" t="s">
        <v>187</v>
      </c>
      <c r="B183" s="1" t="s">
        <v>11</v>
      </c>
      <c r="C183" s="1" t="s">
        <v>190</v>
      </c>
      <c r="D183" s="52" t="str">
        <f>_xlfn.CONCAT(A183,"_",B183)</f>
        <v>MS SQL DBA_IS3</v>
      </c>
      <c r="E183" s="37" t="s">
        <v>191</v>
      </c>
    </row>
    <row r="184" spans="1:5" customFormat="1" ht="409.5">
      <c r="A184" s="58" t="s">
        <v>192</v>
      </c>
      <c r="B184" s="1" t="s">
        <v>13</v>
      </c>
      <c r="C184" s="1" t="s">
        <v>193</v>
      </c>
      <c r="D184" s="52" t="str">
        <f>_xlfn.CONCAT(A184,"_",B184)</f>
        <v>MS SQL DBA - SME_IS4</v>
      </c>
      <c r="E184" s="37" t="s">
        <v>194</v>
      </c>
    </row>
    <row r="185" spans="1:5" customFormat="1" ht="409.5" customHeight="1">
      <c r="A185" s="58" t="s">
        <v>195</v>
      </c>
      <c r="B185" s="1" t="s">
        <v>11</v>
      </c>
      <c r="C185" s="1" t="s">
        <v>190</v>
      </c>
      <c r="D185" s="52" t="str">
        <f>_xlfn.CONCAT(A185,"_",B185)</f>
        <v>PostgreSQL DBA_IS3</v>
      </c>
      <c r="E185" s="37" t="s">
        <v>196</v>
      </c>
    </row>
    <row r="186" spans="1:5" customFormat="1" ht="409.5">
      <c r="A186" s="58" t="s">
        <v>197</v>
      </c>
      <c r="B186" s="1" t="s">
        <v>11</v>
      </c>
      <c r="C186" s="1" t="s">
        <v>190</v>
      </c>
      <c r="D186" s="52" t="str">
        <f>_xlfn.CONCAT(A186,"_",B186)</f>
        <v>MySQL DBA_IS3</v>
      </c>
      <c r="E186" s="37" t="s">
        <v>198</v>
      </c>
    </row>
    <row r="187" spans="1:5" customFormat="1" ht="409.5">
      <c r="A187" s="59" t="s">
        <v>199</v>
      </c>
      <c r="B187" s="59" t="s">
        <v>9</v>
      </c>
      <c r="C187" s="59" t="s">
        <v>163</v>
      </c>
      <c r="D187" t="s">
        <v>200</v>
      </c>
      <c r="E187" s="37" t="s">
        <v>201</v>
      </c>
    </row>
    <row r="188" spans="1:5" customFormat="1" ht="409.5">
      <c r="A188" s="59" t="s">
        <v>202</v>
      </c>
      <c r="B188" s="59" t="s">
        <v>9</v>
      </c>
      <c r="C188" s="59" t="s">
        <v>203</v>
      </c>
      <c r="D188" t="s">
        <v>204</v>
      </c>
      <c r="E188" s="37" t="s">
        <v>205</v>
      </c>
    </row>
    <row r="189" spans="1:5" customFormat="1" ht="409.5">
      <c r="A189" s="59" t="s">
        <v>206</v>
      </c>
      <c r="B189" s="59" t="s">
        <v>11</v>
      </c>
      <c r="C189" s="59" t="s">
        <v>190</v>
      </c>
      <c r="D189" t="s">
        <v>207</v>
      </c>
      <c r="E189" s="37" t="s">
        <v>208</v>
      </c>
    </row>
    <row r="190" spans="1:5" customFormat="1" ht="409.5">
      <c r="A190" s="59" t="s">
        <v>209</v>
      </c>
      <c r="B190" s="59" t="s">
        <v>13</v>
      </c>
      <c r="C190" s="59" t="s">
        <v>190</v>
      </c>
      <c r="D190" t="s">
        <v>210</v>
      </c>
      <c r="E190" s="37" t="s">
        <v>211</v>
      </c>
    </row>
    <row r="191" spans="1:5" customFormat="1" ht="348">
      <c r="A191" s="59" t="s">
        <v>212</v>
      </c>
      <c r="B191" s="59" t="s">
        <v>9</v>
      </c>
      <c r="C191" s="59" t="s">
        <v>203</v>
      </c>
      <c r="D191" t="s">
        <v>213</v>
      </c>
      <c r="E191" s="37" t="s">
        <v>214</v>
      </c>
    </row>
    <row r="192" spans="1:5" customFormat="1" ht="333.6">
      <c r="A192" s="59" t="s">
        <v>215</v>
      </c>
      <c r="B192" s="59" t="s">
        <v>11</v>
      </c>
      <c r="C192" s="59" t="s">
        <v>190</v>
      </c>
      <c r="D192" t="s">
        <v>216</v>
      </c>
      <c r="E192" s="37" t="s">
        <v>217</v>
      </c>
    </row>
    <row r="193" spans="1:5" customFormat="1" ht="348">
      <c r="A193" s="59" t="s">
        <v>218</v>
      </c>
      <c r="B193" s="59" t="s">
        <v>13</v>
      </c>
      <c r="C193" s="59" t="s">
        <v>190</v>
      </c>
      <c r="D193" t="s">
        <v>219</v>
      </c>
      <c r="E193" s="37" t="s">
        <v>220</v>
      </c>
    </row>
    <row r="194" spans="1:5" customFormat="1" ht="409.5">
      <c r="A194" s="59" t="s">
        <v>221</v>
      </c>
      <c r="B194" s="59" t="s">
        <v>18</v>
      </c>
      <c r="C194" s="59" t="s">
        <v>222</v>
      </c>
      <c r="D194" t="s">
        <v>223</v>
      </c>
      <c r="E194" s="37" t="s">
        <v>224</v>
      </c>
    </row>
    <row r="195" spans="1:5" ht="15.75" customHeight="1">
      <c r="A195" s="1" t="s">
        <v>107</v>
      </c>
      <c r="B195" s="1" t="s">
        <v>13</v>
      </c>
      <c r="C195" s="1" t="s">
        <v>225</v>
      </c>
      <c r="D195" s="1" t="s">
        <v>226</v>
      </c>
      <c r="E195" s="61" t="s">
        <v>227</v>
      </c>
    </row>
    <row r="196" spans="1:5" ht="15.75" customHeight="1">
      <c r="A196" s="1" t="s">
        <v>107</v>
      </c>
      <c r="B196" s="1" t="s">
        <v>11</v>
      </c>
      <c r="C196" s="1" t="s">
        <v>228</v>
      </c>
      <c r="D196" s="62" t="s">
        <v>229</v>
      </c>
      <c r="E196" s="61" t="s">
        <v>230</v>
      </c>
    </row>
    <row r="197" spans="1:5" ht="15.75" customHeight="1">
      <c r="A197" s="1" t="s">
        <v>107</v>
      </c>
      <c r="B197" s="1" t="s">
        <v>11</v>
      </c>
      <c r="C197" s="1" t="s">
        <v>228</v>
      </c>
      <c r="D197" s="1" t="s">
        <v>231</v>
      </c>
      <c r="E197" s="61" t="s">
        <v>232</v>
      </c>
    </row>
    <row r="198" spans="1:5" ht="15.75" customHeight="1">
      <c r="A198" s="1" t="s">
        <v>118</v>
      </c>
      <c r="B198" s="1" t="s">
        <v>13</v>
      </c>
      <c r="C198" s="1" t="s">
        <v>233</v>
      </c>
      <c r="D198" s="63" t="s">
        <v>234</v>
      </c>
      <c r="E198" s="61" t="s">
        <v>235</v>
      </c>
    </row>
    <row r="199" spans="1:5" ht="15.75" customHeight="1">
      <c r="A199" s="1" t="s">
        <v>236</v>
      </c>
      <c r="B199" s="1" t="s">
        <v>11</v>
      </c>
      <c r="C199" s="1" t="s">
        <v>237</v>
      </c>
      <c r="D199" s="63" t="s">
        <v>238</v>
      </c>
      <c r="E199" s="61" t="s">
        <v>239</v>
      </c>
    </row>
    <row r="200" spans="1:5" ht="15.75" customHeight="1">
      <c r="A200" s="1" t="s">
        <v>236</v>
      </c>
      <c r="B200" s="1" t="s">
        <v>13</v>
      </c>
      <c r="C200" s="1" t="s">
        <v>240</v>
      </c>
      <c r="D200" s="63" t="s">
        <v>241</v>
      </c>
      <c r="E200" s="61" t="s">
        <v>242</v>
      </c>
    </row>
    <row r="201" spans="1:5" ht="15.75" customHeight="1">
      <c r="A201" s="1" t="s">
        <v>236</v>
      </c>
      <c r="B201" s="1" t="s">
        <v>11</v>
      </c>
      <c r="C201" s="1" t="s">
        <v>228</v>
      </c>
      <c r="D201" s="63" t="s">
        <v>243</v>
      </c>
      <c r="E201" s="61" t="s">
        <v>244</v>
      </c>
    </row>
    <row r="202" spans="1:5" ht="15.75" customHeight="1">
      <c r="A202" s="1" t="s">
        <v>245</v>
      </c>
      <c r="B202" s="1" t="s">
        <v>9</v>
      </c>
      <c r="C202" s="1" t="s">
        <v>163</v>
      </c>
      <c r="D202" s="1" t="s">
        <v>246</v>
      </c>
      <c r="E202" s="64" t="s">
        <v>247</v>
      </c>
    </row>
    <row r="203" spans="1:5" ht="15.75" customHeight="1">
      <c r="A203" s="1" t="s">
        <v>248</v>
      </c>
      <c r="B203" s="1" t="s">
        <v>11</v>
      </c>
      <c r="C203" s="1" t="s">
        <v>249</v>
      </c>
      <c r="D203" s="1" t="s">
        <v>250</v>
      </c>
      <c r="E203" s="65" t="s">
        <v>251</v>
      </c>
    </row>
    <row r="204" spans="1:5" ht="15.75" customHeight="1">
      <c r="A204" s="1" t="s">
        <v>248</v>
      </c>
      <c r="B204" s="1" t="s">
        <v>9</v>
      </c>
      <c r="C204" s="1" t="s">
        <v>252</v>
      </c>
      <c r="D204" s="1" t="s">
        <v>253</v>
      </c>
      <c r="E204" s="65" t="s">
        <v>254</v>
      </c>
    </row>
    <row r="205" spans="1:5" ht="15.75" customHeight="1">
      <c r="A205" s="1" t="s">
        <v>255</v>
      </c>
      <c r="B205" s="1" t="s">
        <v>11</v>
      </c>
      <c r="C205" s="1" t="s">
        <v>249</v>
      </c>
      <c r="D205" s="1" t="s">
        <v>256</v>
      </c>
      <c r="E205" s="61" t="s">
        <v>257</v>
      </c>
    </row>
    <row r="206" spans="1:5" ht="15.75" customHeight="1">
      <c r="A206" s="1" t="s">
        <v>255</v>
      </c>
      <c r="B206" s="1" t="s">
        <v>9</v>
      </c>
      <c r="C206" s="1" t="s">
        <v>252</v>
      </c>
      <c r="D206" s="1" t="s">
        <v>258</v>
      </c>
      <c r="E206" s="66" t="s">
        <v>259</v>
      </c>
    </row>
    <row r="207" spans="1:5" ht="15.75" customHeight="1">
      <c r="A207" s="1" t="s">
        <v>260</v>
      </c>
      <c r="B207" s="1" t="s">
        <v>13</v>
      </c>
      <c r="C207" s="1" t="s">
        <v>237</v>
      </c>
      <c r="D207" t="s">
        <v>261</v>
      </c>
      <c r="E207" s="61" t="s">
        <v>262</v>
      </c>
    </row>
    <row r="208" spans="1:5" ht="15.75" customHeight="1">
      <c r="A208" s="1" t="s">
        <v>263</v>
      </c>
      <c r="B208" s="1" t="s">
        <v>13</v>
      </c>
      <c r="C208" s="1" t="s">
        <v>237</v>
      </c>
      <c r="D208" s="1" t="s">
        <v>264</v>
      </c>
      <c r="E208" s="61" t="s">
        <v>265</v>
      </c>
    </row>
    <row r="209" spans="1:5" ht="15.75" customHeight="1">
      <c r="A209" s="30" t="s">
        <v>266</v>
      </c>
      <c r="B209" s="1" t="s">
        <v>13</v>
      </c>
      <c r="C209" s="1" t="s">
        <v>237</v>
      </c>
      <c r="D209" s="1" t="s">
        <v>264</v>
      </c>
      <c r="E209" s="61" t="s">
        <v>267</v>
      </c>
    </row>
    <row r="210" spans="1:5" ht="15.75" customHeight="1">
      <c r="A210" s="1" t="s">
        <v>268</v>
      </c>
      <c r="B210" s="1" t="s">
        <v>13</v>
      </c>
      <c r="E210" s="61" t="s">
        <v>269</v>
      </c>
    </row>
    <row r="211" spans="1:5" ht="15.75" customHeight="1">
      <c r="A211" s="1" t="s">
        <v>270</v>
      </c>
      <c r="B211" s="1" t="s">
        <v>13</v>
      </c>
      <c r="E211" s="61" t="s">
        <v>271</v>
      </c>
    </row>
    <row r="212" spans="1:5" ht="15.75" customHeight="1">
      <c r="A212" s="1" t="s">
        <v>116</v>
      </c>
      <c r="B212" s="1" t="s">
        <v>87</v>
      </c>
      <c r="C212" s="1" t="s">
        <v>272</v>
      </c>
      <c r="D212" s="1" t="s">
        <v>273</v>
      </c>
      <c r="E212" s="61" t="s">
        <v>274</v>
      </c>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A9C89FD7-AB11-4F0C-B783-74603454903C}">
          <x14:formula1>
            <xm:f>Metadata!$E$2:$E$57</xm:f>
          </x14:formula1>
          <xm:sqref>A210:A1048576 A1:A208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65877-B4EE-4155-906F-D376FBF21D7E}">
  <dimension ref="A1:M91"/>
  <sheetViews>
    <sheetView workbookViewId="0">
      <pane xSplit="2" ySplit="1" topLeftCell="C72" activePane="bottomRight" state="frozen"/>
      <selection pane="bottomRight" activeCell="A82" sqref="A82"/>
      <selection pane="bottomLeft" activeCell="C2" sqref="C2"/>
      <selection pane="topRight" activeCell="C2" sqref="C2"/>
    </sheetView>
  </sheetViews>
  <sheetFormatPr defaultColWidth="8.42578125" defaultRowHeight="14.45"/>
  <cols>
    <col min="1" max="1" width="34" style="1" customWidth="1"/>
    <col min="2" max="2" width="5.85546875" style="1" bestFit="1" customWidth="1"/>
    <col min="3" max="3" width="29.42578125" style="1" customWidth="1"/>
    <col min="4" max="4" width="78.140625" style="24" customWidth="1"/>
    <col min="5" max="5" width="20.42578125" style="1" customWidth="1"/>
    <col min="6" max="6" width="12.42578125" style="1" customWidth="1"/>
    <col min="7" max="7" width="8.42578125" style="1" bestFit="1" customWidth="1"/>
    <col min="8" max="9" width="6.42578125" style="1" bestFit="1" customWidth="1"/>
    <col min="10" max="10" width="7.42578125" style="1" bestFit="1" customWidth="1"/>
    <col min="11" max="12" width="8.42578125" style="1" bestFit="1" customWidth="1"/>
    <col min="13" max="13" width="6.42578125" style="1" bestFit="1" customWidth="1"/>
    <col min="14" max="16384" width="8.42578125" style="1"/>
  </cols>
  <sheetData>
    <row r="1" spans="1:13" customFormat="1">
      <c r="A1" s="25" t="s">
        <v>275</v>
      </c>
      <c r="B1" s="25" t="s">
        <v>1</v>
      </c>
      <c r="C1" s="25" t="s">
        <v>3</v>
      </c>
      <c r="D1" s="26" t="s">
        <v>4</v>
      </c>
      <c r="E1" s="25" t="s">
        <v>5</v>
      </c>
    </row>
    <row r="2" spans="1:13" ht="15" customHeight="1">
      <c r="A2" s="2" t="s">
        <v>6</v>
      </c>
      <c r="B2" s="2" t="s">
        <v>7</v>
      </c>
      <c r="C2" s="3" t="str">
        <f>_xlfn.CONCAT(A2,"_",B2)</f>
        <v>SAP SD, LE_IS1</v>
      </c>
      <c r="D2" s="16" t="s">
        <v>276</v>
      </c>
      <c r="E2" s="4"/>
      <c r="F2" s="5"/>
      <c r="G2" s="6"/>
      <c r="H2" s="5"/>
      <c r="I2" s="5"/>
      <c r="J2" s="5"/>
      <c r="K2" s="5"/>
      <c r="L2" s="5"/>
      <c r="M2" s="5"/>
    </row>
    <row r="3" spans="1:13" ht="15" customHeight="1">
      <c r="A3" s="2" t="s">
        <v>6</v>
      </c>
      <c r="B3" s="2" t="s">
        <v>9</v>
      </c>
      <c r="C3" s="3" t="str">
        <f>_xlfn.CONCAT(A3,"_",B3)</f>
        <v>SAP SD, LE_IS2</v>
      </c>
      <c r="D3" s="16" t="s">
        <v>276</v>
      </c>
      <c r="E3" s="4"/>
      <c r="F3" s="5"/>
      <c r="G3" s="6"/>
      <c r="H3" s="5"/>
      <c r="I3" s="5"/>
      <c r="J3" s="5"/>
      <c r="K3" s="5"/>
      <c r="L3" s="5"/>
      <c r="M3" s="5"/>
    </row>
    <row r="4" spans="1:13" ht="15" customHeight="1">
      <c r="A4" s="2" t="s">
        <v>6</v>
      </c>
      <c r="B4" s="2" t="s">
        <v>11</v>
      </c>
      <c r="C4" s="3" t="str">
        <f>_xlfn.CONCAT(A4,"_",B4)</f>
        <v>SAP SD, LE_IS3</v>
      </c>
      <c r="D4" s="17" t="s">
        <v>277</v>
      </c>
      <c r="E4" s="4"/>
      <c r="F4" s="5"/>
      <c r="G4" s="6"/>
      <c r="H4" s="5"/>
      <c r="I4" s="5"/>
      <c r="J4" s="5"/>
      <c r="K4" s="5"/>
      <c r="L4" s="5"/>
      <c r="M4" s="5"/>
    </row>
    <row r="5" spans="1:13" ht="15" customHeight="1">
      <c r="A5" s="2" t="s">
        <v>6</v>
      </c>
      <c r="B5" s="2" t="s">
        <v>13</v>
      </c>
      <c r="C5" s="3" t="str">
        <f>_xlfn.CONCAT(A5,"_",B5)</f>
        <v>SAP SD, LE_IS4</v>
      </c>
      <c r="D5" s="16" t="s">
        <v>278</v>
      </c>
      <c r="E5" s="4"/>
      <c r="F5" s="5"/>
      <c r="G5" s="6"/>
      <c r="H5" s="5"/>
      <c r="I5" s="5"/>
      <c r="J5" s="5"/>
      <c r="K5" s="5"/>
      <c r="L5" s="5"/>
      <c r="M5" s="5"/>
    </row>
    <row r="6" spans="1:13" ht="15" customHeight="1">
      <c r="A6" s="7"/>
      <c r="B6" s="7"/>
      <c r="C6" t="str">
        <f t="shared" ref="C6" si="0">_xlfn.CONCAT(G6,"_",H6)</f>
        <v>_</v>
      </c>
      <c r="D6" s="20"/>
      <c r="E6" s="8"/>
      <c r="F6" s="5"/>
      <c r="G6" s="6"/>
      <c r="H6" s="5"/>
      <c r="I6" s="5"/>
      <c r="J6" s="5"/>
      <c r="K6" s="5"/>
      <c r="L6" s="5"/>
      <c r="M6" s="5"/>
    </row>
    <row r="7" spans="1:13" ht="15" customHeight="1">
      <c r="A7" s="2" t="s">
        <v>0</v>
      </c>
      <c r="B7" s="2" t="s">
        <v>7</v>
      </c>
      <c r="C7" s="3" t="str">
        <f>_xlfn.CONCAT(A7,"_",B7)</f>
        <v>MM, WM + SRM_IS1</v>
      </c>
      <c r="D7" s="18" t="s">
        <v>15</v>
      </c>
      <c r="E7" s="2"/>
      <c r="F7" s="9"/>
      <c r="G7" s="6"/>
      <c r="H7" s="5"/>
      <c r="I7" s="5"/>
      <c r="J7" s="5"/>
      <c r="K7" s="5"/>
      <c r="L7" s="5"/>
      <c r="M7" s="5"/>
    </row>
    <row r="8" spans="1:13" ht="15" customHeight="1">
      <c r="A8" s="2" t="s">
        <v>0</v>
      </c>
      <c r="B8" s="2" t="s">
        <v>9</v>
      </c>
      <c r="C8" s="3" t="str">
        <f>_xlfn.CONCAT(A8,"_",B8)</f>
        <v>MM, WM + SRM_IS2</v>
      </c>
      <c r="D8" s="18" t="s">
        <v>15</v>
      </c>
      <c r="E8" s="2"/>
      <c r="F8" s="9"/>
      <c r="G8" s="6"/>
      <c r="H8" s="5"/>
      <c r="I8" s="5"/>
      <c r="J8" s="5"/>
      <c r="K8" s="5"/>
      <c r="L8" s="5"/>
      <c r="M8" s="5"/>
    </row>
    <row r="9" spans="1:13" ht="15" customHeight="1">
      <c r="A9" s="2" t="s">
        <v>0</v>
      </c>
      <c r="B9" s="2" t="s">
        <v>11</v>
      </c>
      <c r="C9" s="3" t="str">
        <f>_xlfn.CONCAT(A9,"_",B9)</f>
        <v>MM, WM + SRM_IS3</v>
      </c>
      <c r="D9" s="18" t="s">
        <v>279</v>
      </c>
      <c r="E9" s="2"/>
      <c r="F9" s="9"/>
      <c r="G9" s="6"/>
      <c r="H9" s="5"/>
      <c r="I9" s="5"/>
      <c r="J9" s="5"/>
      <c r="K9" s="5"/>
      <c r="L9" s="5"/>
      <c r="M9" s="5"/>
    </row>
    <row r="10" spans="1:13" ht="15" customHeight="1">
      <c r="A10" s="2" t="s">
        <v>0</v>
      </c>
      <c r="B10" s="2" t="s">
        <v>13</v>
      </c>
      <c r="C10" s="3" t="str">
        <f>_xlfn.CONCAT(A10,"_",B10)</f>
        <v>MM, WM + SRM_IS4</v>
      </c>
      <c r="D10" s="18" t="s">
        <v>19</v>
      </c>
      <c r="E10" s="2"/>
      <c r="F10" s="9"/>
      <c r="G10" s="6"/>
      <c r="H10" s="5"/>
      <c r="I10" s="5"/>
      <c r="J10" s="5"/>
      <c r="K10" s="5"/>
      <c r="L10" s="5"/>
      <c r="M10" s="5"/>
    </row>
    <row r="11" spans="1:13" ht="15" customHeight="1">
      <c r="A11" s="2" t="s">
        <v>0</v>
      </c>
      <c r="B11" s="2" t="s">
        <v>18</v>
      </c>
      <c r="C11" s="3" t="str">
        <f>_xlfn.CONCAT(A11,"_",B11)</f>
        <v>MM, WM + SRM_IS5</v>
      </c>
      <c r="D11" s="18" t="s">
        <v>19</v>
      </c>
      <c r="E11" s="2"/>
      <c r="F11" s="9"/>
      <c r="G11" s="6"/>
      <c r="H11" s="5"/>
      <c r="I11" s="5"/>
      <c r="J11" s="5"/>
      <c r="K11" s="5"/>
      <c r="L11" s="5"/>
      <c r="M11" s="5"/>
    </row>
    <row r="12" spans="1:13" ht="15" customHeight="1">
      <c r="A12" s="7"/>
      <c r="B12" s="7"/>
      <c r="C12" s="3"/>
      <c r="D12" s="20"/>
      <c r="E12" s="8"/>
      <c r="F12" s="9"/>
      <c r="G12" s="6"/>
      <c r="H12" s="5"/>
      <c r="I12" s="5"/>
      <c r="J12" s="5"/>
      <c r="K12" s="5"/>
      <c r="L12" s="5"/>
      <c r="M12" s="5"/>
    </row>
    <row r="13" spans="1:13" ht="15" customHeight="1">
      <c r="A13" s="2" t="s">
        <v>20</v>
      </c>
      <c r="B13" s="2" t="s">
        <v>7</v>
      </c>
      <c r="C13" s="3" t="str">
        <f>_xlfn.CONCAT(A13,"_",B13)</f>
        <v>FI, CO_IS1</v>
      </c>
      <c r="D13" s="18" t="s">
        <v>280</v>
      </c>
      <c r="E13" s="2"/>
      <c r="F13" s="9"/>
      <c r="G13" s="6"/>
      <c r="H13" s="5"/>
      <c r="I13" s="5"/>
      <c r="J13" s="5"/>
      <c r="K13" s="5"/>
      <c r="L13" s="5"/>
      <c r="M13" s="5"/>
    </row>
    <row r="14" spans="1:13" ht="15" customHeight="1">
      <c r="A14" s="2" t="s">
        <v>20</v>
      </c>
      <c r="B14" s="2" t="s">
        <v>9</v>
      </c>
      <c r="C14" s="3" t="str">
        <f>_xlfn.CONCAT(A14,"_",B14)</f>
        <v>FI, CO_IS2</v>
      </c>
      <c r="D14" s="18" t="s">
        <v>280</v>
      </c>
      <c r="E14" s="2"/>
      <c r="F14" s="9"/>
      <c r="G14" s="6"/>
      <c r="H14" s="5"/>
      <c r="I14" s="5"/>
      <c r="J14" s="5"/>
      <c r="K14" s="5"/>
      <c r="L14" s="5"/>
      <c r="M14" s="5"/>
    </row>
    <row r="15" spans="1:13" ht="15" customHeight="1">
      <c r="A15" s="2" t="s">
        <v>20</v>
      </c>
      <c r="B15" s="2" t="s">
        <v>11</v>
      </c>
      <c r="C15" s="3" t="str">
        <f>_xlfn.CONCAT(A15,"_",B15)</f>
        <v>FI, CO_IS3</v>
      </c>
      <c r="D15" s="18" t="s">
        <v>281</v>
      </c>
      <c r="E15" s="2"/>
      <c r="F15" s="9"/>
      <c r="G15" s="6"/>
      <c r="H15" s="5"/>
      <c r="I15" s="5"/>
      <c r="J15" s="5"/>
      <c r="K15" s="5"/>
      <c r="L15" s="5"/>
      <c r="M15" s="5"/>
    </row>
    <row r="16" spans="1:13" ht="15" customHeight="1">
      <c r="A16" s="2" t="s">
        <v>20</v>
      </c>
      <c r="B16" s="2" t="s">
        <v>13</v>
      </c>
      <c r="C16" s="3" t="str">
        <f>_xlfn.CONCAT(A16,"_",B16)</f>
        <v>FI, CO_IS4</v>
      </c>
      <c r="D16" s="18" t="s">
        <v>25</v>
      </c>
      <c r="E16" s="2"/>
      <c r="F16" s="9"/>
      <c r="G16" s="6"/>
      <c r="H16" s="5"/>
      <c r="I16" s="5"/>
      <c r="J16" s="5"/>
      <c r="K16" s="5"/>
      <c r="L16" s="5"/>
      <c r="M16" s="5"/>
    </row>
    <row r="17" spans="1:13" ht="15" customHeight="1">
      <c r="A17" s="2" t="s">
        <v>20</v>
      </c>
      <c r="B17" s="2" t="s">
        <v>18</v>
      </c>
      <c r="C17" s="3" t="str">
        <f>_xlfn.CONCAT(A17,"_",B17)</f>
        <v>FI, CO_IS5</v>
      </c>
      <c r="D17" s="18" t="s">
        <v>25</v>
      </c>
      <c r="E17" s="2"/>
      <c r="F17" s="9"/>
      <c r="G17" s="6"/>
      <c r="H17" s="5"/>
      <c r="I17" s="5"/>
      <c r="J17" s="5"/>
      <c r="K17" s="5"/>
      <c r="L17" s="5"/>
      <c r="M17" s="5"/>
    </row>
    <row r="18" spans="1:13" ht="15" customHeight="1">
      <c r="A18" s="7"/>
      <c r="B18" s="7"/>
      <c r="C18" s="3"/>
      <c r="D18" s="20"/>
      <c r="E18" s="8"/>
      <c r="F18" s="9"/>
      <c r="G18" s="6"/>
      <c r="H18" s="5"/>
      <c r="I18" s="5"/>
      <c r="J18" s="5"/>
      <c r="K18" s="5"/>
      <c r="L18" s="5"/>
      <c r="M18" s="5"/>
    </row>
    <row r="19" spans="1:13" ht="15" customHeight="1">
      <c r="A19" s="2" t="s">
        <v>26</v>
      </c>
      <c r="B19" s="2" t="s">
        <v>9</v>
      </c>
      <c r="C19" s="3" t="str">
        <f>_xlfn.CONCAT(A19,"_",B19)</f>
        <v>FI+TRM Finance_IS2</v>
      </c>
      <c r="D19" s="18" t="s">
        <v>280</v>
      </c>
      <c r="E19" s="2"/>
      <c r="F19" s="9"/>
      <c r="G19" s="6"/>
      <c r="H19" s="5"/>
      <c r="I19" s="5"/>
      <c r="J19" s="5"/>
      <c r="K19" s="5"/>
      <c r="L19" s="5"/>
      <c r="M19" s="5"/>
    </row>
    <row r="20" spans="1:13" ht="15" customHeight="1">
      <c r="A20" s="2" t="s">
        <v>26</v>
      </c>
      <c r="B20" s="2" t="s">
        <v>11</v>
      </c>
      <c r="C20" s="3" t="str">
        <f>_xlfn.CONCAT(A20,"_",B20)</f>
        <v>FI+TRM Finance_IS3</v>
      </c>
      <c r="D20" s="18" t="s">
        <v>281</v>
      </c>
      <c r="E20" s="2"/>
      <c r="F20" s="9"/>
      <c r="G20" s="6"/>
      <c r="H20" s="5"/>
      <c r="I20" s="5"/>
      <c r="J20" s="5"/>
      <c r="K20" s="5"/>
      <c r="L20" s="5"/>
      <c r="M20" s="5"/>
    </row>
    <row r="21" spans="1:13" ht="15" customHeight="1">
      <c r="A21" s="2" t="s">
        <v>26</v>
      </c>
      <c r="B21" s="2" t="s">
        <v>13</v>
      </c>
      <c r="C21" s="3" t="str">
        <f>_xlfn.CONCAT(A21,"_",B21)</f>
        <v>FI+TRM Finance_IS4</v>
      </c>
      <c r="D21" s="18" t="s">
        <v>25</v>
      </c>
      <c r="E21" s="2"/>
      <c r="F21" s="9"/>
      <c r="G21" s="6"/>
      <c r="H21" s="5"/>
      <c r="I21" s="5"/>
      <c r="J21" s="5"/>
      <c r="K21" s="5"/>
      <c r="L21" s="5"/>
      <c r="M21" s="5"/>
    </row>
    <row r="22" spans="1:13" ht="15" customHeight="1">
      <c r="A22" s="7"/>
      <c r="B22" s="7"/>
      <c r="C22" s="3"/>
      <c r="D22" s="20"/>
      <c r="E22" s="8"/>
      <c r="F22" s="9"/>
      <c r="G22" s="6"/>
      <c r="H22" s="5"/>
      <c r="I22" s="5"/>
      <c r="J22" s="5"/>
      <c r="K22" s="5"/>
      <c r="L22" s="5"/>
      <c r="M22" s="5"/>
    </row>
    <row r="23" spans="1:13" ht="15" customHeight="1">
      <c r="A23" s="2" t="s">
        <v>28</v>
      </c>
      <c r="B23" s="2" t="s">
        <v>9</v>
      </c>
      <c r="C23" s="3" t="str">
        <f>_xlfn.CONCAT(A23,"_",B23)</f>
        <v>PP_IS2</v>
      </c>
      <c r="D23" s="18" t="s">
        <v>282</v>
      </c>
      <c r="E23" s="2"/>
      <c r="F23" s="9"/>
      <c r="G23" s="6"/>
      <c r="H23" s="5"/>
      <c r="I23" s="5"/>
      <c r="J23" s="5"/>
      <c r="K23" s="5"/>
      <c r="L23" s="5"/>
      <c r="M23" s="5"/>
    </row>
    <row r="24" spans="1:13" ht="15" customHeight="1">
      <c r="A24" s="2" t="s">
        <v>28</v>
      </c>
      <c r="B24" s="2" t="s">
        <v>11</v>
      </c>
      <c r="C24" s="3" t="str">
        <f>_xlfn.CONCAT(A24,"_",B24)</f>
        <v>PP_IS3</v>
      </c>
      <c r="D24" s="18" t="s">
        <v>283</v>
      </c>
      <c r="E24" s="2"/>
      <c r="F24" s="9"/>
      <c r="G24" s="6"/>
      <c r="H24" s="5"/>
      <c r="I24" s="5"/>
      <c r="J24" s="5"/>
      <c r="K24" s="5"/>
      <c r="L24" s="5"/>
      <c r="M24" s="5"/>
    </row>
    <row r="25" spans="1:13" ht="15" customHeight="1">
      <c r="A25" s="7"/>
      <c r="B25" s="7"/>
      <c r="C25" s="3"/>
      <c r="D25" s="21"/>
      <c r="E25" s="7"/>
      <c r="F25" s="9"/>
      <c r="G25" s="6"/>
      <c r="H25" s="5"/>
      <c r="I25" s="5"/>
      <c r="J25" s="5"/>
      <c r="K25" s="5"/>
      <c r="L25" s="5"/>
      <c r="M25" s="5"/>
    </row>
    <row r="26" spans="1:13" ht="15" customHeight="1">
      <c r="A26" s="2" t="s">
        <v>31</v>
      </c>
      <c r="B26" s="2" t="s">
        <v>11</v>
      </c>
      <c r="C26" s="3" t="str">
        <f>_xlfn.CONCAT(A26,"_",B26)</f>
        <v>QM_IS3</v>
      </c>
      <c r="D26" s="18" t="s">
        <v>283</v>
      </c>
      <c r="E26" s="2"/>
      <c r="F26" s="9"/>
      <c r="G26" s="6"/>
      <c r="H26" s="5"/>
      <c r="I26" s="5"/>
      <c r="J26" s="5"/>
      <c r="K26" s="5"/>
      <c r="L26" s="5"/>
      <c r="M26" s="5"/>
    </row>
    <row r="27" spans="1:13" ht="15" customHeight="1">
      <c r="A27" s="7"/>
      <c r="B27" s="7"/>
      <c r="C27" s="3"/>
      <c r="D27" s="21"/>
      <c r="E27" s="7"/>
      <c r="F27" s="9"/>
      <c r="G27" s="6"/>
      <c r="H27" s="5"/>
      <c r="I27" s="5"/>
      <c r="J27" s="5"/>
      <c r="K27" s="5"/>
      <c r="L27" s="5"/>
      <c r="M27" s="5"/>
    </row>
    <row r="28" spans="1:13" ht="15" customHeight="1">
      <c r="A28" s="2" t="s">
        <v>32</v>
      </c>
      <c r="B28" s="2" t="s">
        <v>9</v>
      </c>
      <c r="C28" s="3" t="str">
        <f>_xlfn.CONCAT(A28,"_",B28)</f>
        <v>PM_IS2</v>
      </c>
      <c r="D28" s="18" t="s">
        <v>282</v>
      </c>
      <c r="E28" s="2"/>
      <c r="F28" s="9"/>
      <c r="G28" s="6"/>
      <c r="H28" s="5"/>
      <c r="I28" s="5"/>
      <c r="J28" s="5"/>
      <c r="K28" s="5"/>
      <c r="L28" s="5"/>
      <c r="M28" s="5"/>
    </row>
    <row r="29" spans="1:13" ht="15" customHeight="1">
      <c r="A29" s="2" t="s">
        <v>32</v>
      </c>
      <c r="B29" s="2" t="s">
        <v>11</v>
      </c>
      <c r="C29" s="3" t="str">
        <f>_xlfn.CONCAT(A29,"_",B29)</f>
        <v>PM_IS3</v>
      </c>
      <c r="D29" s="18" t="s">
        <v>283</v>
      </c>
      <c r="E29" s="2"/>
      <c r="F29" s="9"/>
      <c r="G29" s="6"/>
      <c r="H29" s="5"/>
      <c r="I29" s="5"/>
      <c r="J29" s="5"/>
      <c r="K29" s="5"/>
      <c r="L29" s="5"/>
      <c r="M29" s="5"/>
    </row>
    <row r="30" spans="1:13" ht="15" customHeight="1">
      <c r="A30" s="7"/>
      <c r="B30" s="7"/>
      <c r="C30" s="3"/>
      <c r="D30" s="21"/>
      <c r="E30" s="7"/>
      <c r="F30" s="9"/>
      <c r="G30" s="6"/>
      <c r="H30" s="5"/>
      <c r="I30" s="5"/>
      <c r="J30" s="5"/>
      <c r="K30" s="5"/>
      <c r="L30" s="5"/>
      <c r="M30" s="5"/>
    </row>
    <row r="31" spans="1:13" ht="15" customHeight="1">
      <c r="A31" s="2" t="s">
        <v>33</v>
      </c>
      <c r="B31" s="2" t="s">
        <v>11</v>
      </c>
      <c r="C31" s="3" t="str">
        <f>_xlfn.CONCAT(A31,"_",B31)</f>
        <v>Excise Duty - FI (custom development)_IS3</v>
      </c>
      <c r="D31" s="18" t="s">
        <v>281</v>
      </c>
      <c r="E31" s="2"/>
      <c r="F31" s="9"/>
      <c r="G31" s="6"/>
      <c r="H31" s="5"/>
      <c r="I31" s="5"/>
      <c r="J31" s="5"/>
      <c r="K31" s="5"/>
      <c r="L31" s="5"/>
      <c r="M31" s="5"/>
    </row>
    <row r="32" spans="1:13" ht="15" customHeight="1">
      <c r="A32" s="7"/>
      <c r="B32" s="7"/>
      <c r="C32" s="3"/>
      <c r="D32" s="21"/>
      <c r="E32" s="7"/>
      <c r="F32" s="9"/>
      <c r="G32" s="6"/>
      <c r="H32" s="5"/>
      <c r="I32" s="5"/>
      <c r="J32" s="5"/>
      <c r="K32" s="5"/>
      <c r="L32" s="5"/>
      <c r="M32" s="5"/>
    </row>
    <row r="33" spans="1:13" ht="15" customHeight="1">
      <c r="A33" s="27" t="s">
        <v>34</v>
      </c>
      <c r="B33" s="2" t="s">
        <v>9</v>
      </c>
      <c r="C33" s="3" t="str">
        <f>_xlfn.CONCAT(A33,"_",B33)</f>
        <v>Recipe Mgmt - PP (custom development)_IS2</v>
      </c>
      <c r="D33" s="22"/>
      <c r="E33" s="2"/>
      <c r="F33" s="9"/>
      <c r="G33" s="6"/>
      <c r="H33" s="5"/>
      <c r="I33" s="5"/>
      <c r="J33" s="5"/>
      <c r="K33" s="5"/>
      <c r="L33" s="5"/>
      <c r="M33" s="5"/>
    </row>
    <row r="34" spans="1:13" ht="15" customHeight="1">
      <c r="A34" s="27" t="s">
        <v>34</v>
      </c>
      <c r="B34" s="2" t="s">
        <v>11</v>
      </c>
      <c r="C34" s="3" t="str">
        <f>_xlfn.CONCAT(A34,"_",B34)</f>
        <v>Recipe Mgmt - PP (custom development)_IS3</v>
      </c>
      <c r="D34" s="22"/>
      <c r="E34" s="2"/>
      <c r="F34" s="9"/>
      <c r="G34" s="6"/>
      <c r="H34" s="5"/>
      <c r="I34" s="5"/>
      <c r="J34" s="5"/>
      <c r="K34" s="5"/>
      <c r="L34" s="5"/>
      <c r="M34" s="5"/>
    </row>
    <row r="35" spans="1:13" ht="15" customHeight="1">
      <c r="A35" s="7"/>
      <c r="B35" s="7"/>
      <c r="C35" s="3"/>
      <c r="D35" s="21"/>
      <c r="E35" s="7"/>
      <c r="F35" s="9"/>
      <c r="G35" s="6"/>
      <c r="H35" s="5"/>
      <c r="I35" s="5"/>
      <c r="J35" s="5"/>
      <c r="K35" s="5"/>
      <c r="L35" s="5"/>
      <c r="M35" s="5"/>
    </row>
    <row r="36" spans="1:13" ht="15" customHeight="1">
      <c r="A36" s="2" t="s">
        <v>37</v>
      </c>
      <c r="B36" s="2" t="s">
        <v>7</v>
      </c>
      <c r="C36" s="3" t="str">
        <f>_xlfn.CONCAT(A36,"_",B36)</f>
        <v>FSCM (TRM Finance)_IS1</v>
      </c>
      <c r="D36" s="18" t="s">
        <v>280</v>
      </c>
      <c r="E36" s="2"/>
      <c r="F36" s="9"/>
      <c r="G36" s="10"/>
      <c r="H36" s="5"/>
      <c r="I36" s="5"/>
      <c r="J36" s="5"/>
      <c r="K36" s="5"/>
      <c r="L36" s="5"/>
      <c r="M36" s="5"/>
    </row>
    <row r="37" spans="1:13" ht="15" customHeight="1">
      <c r="A37" s="2" t="s">
        <v>37</v>
      </c>
      <c r="B37" s="2" t="s">
        <v>9</v>
      </c>
      <c r="C37" s="3" t="str">
        <f>_xlfn.CONCAT(A37,"_",B37)</f>
        <v>FSCM (TRM Finance)_IS2</v>
      </c>
      <c r="D37" s="18" t="s">
        <v>280</v>
      </c>
      <c r="E37" s="2"/>
      <c r="F37" s="9"/>
      <c r="G37" s="10"/>
      <c r="H37" s="5"/>
      <c r="I37" s="5"/>
      <c r="J37" s="5"/>
      <c r="K37" s="5"/>
      <c r="L37" s="5"/>
      <c r="M37" s="5"/>
    </row>
    <row r="38" spans="1:13" ht="15" customHeight="1">
      <c r="A38" s="2" t="s">
        <v>37</v>
      </c>
      <c r="B38" s="2" t="s">
        <v>11</v>
      </c>
      <c r="C38" s="3" t="str">
        <f>_xlfn.CONCAT(A38,"_",B38)</f>
        <v>FSCM (TRM Finance)_IS3</v>
      </c>
      <c r="D38" s="18" t="s">
        <v>281</v>
      </c>
      <c r="E38" s="2"/>
      <c r="F38" s="9"/>
      <c r="G38" s="10"/>
      <c r="H38" s="5"/>
      <c r="I38" s="5"/>
      <c r="J38" s="5"/>
      <c r="K38" s="5"/>
      <c r="L38" s="5"/>
      <c r="M38" s="5"/>
    </row>
    <row r="39" spans="1:13" ht="15" customHeight="1">
      <c r="A39" s="2" t="s">
        <v>37</v>
      </c>
      <c r="B39" s="2" t="s">
        <v>13</v>
      </c>
      <c r="C39" s="3" t="str">
        <f>_xlfn.CONCAT(A39,"_",B39)</f>
        <v>FSCM (TRM Finance)_IS4</v>
      </c>
      <c r="D39" s="18" t="s">
        <v>25</v>
      </c>
      <c r="E39" s="2"/>
      <c r="F39" s="9"/>
      <c r="G39" s="10"/>
      <c r="H39" s="5"/>
      <c r="I39" s="5"/>
      <c r="J39" s="5"/>
      <c r="K39" s="5"/>
      <c r="L39" s="5"/>
      <c r="M39" s="5"/>
    </row>
    <row r="40" spans="1:13" ht="15" customHeight="1">
      <c r="A40" s="7"/>
      <c r="B40" s="7"/>
      <c r="C40" s="3"/>
      <c r="D40" s="21"/>
      <c r="E40" s="7"/>
      <c r="F40" s="9"/>
      <c r="G40" s="10"/>
      <c r="H40" s="5"/>
      <c r="I40" s="5"/>
      <c r="J40" s="5"/>
      <c r="K40" s="5"/>
      <c r="L40" s="5"/>
      <c r="M40" s="5"/>
    </row>
    <row r="41" spans="1:13" ht="15" customHeight="1">
      <c r="A41" s="2" t="s">
        <v>38</v>
      </c>
      <c r="B41" s="2" t="s">
        <v>7</v>
      </c>
      <c r="C41" s="3" t="str">
        <f t="shared" ref="C41:C46" si="1">_xlfn.CONCAT(A41,"_",B41)</f>
        <v>ABAP_IS1</v>
      </c>
      <c r="D41" s="18" t="s">
        <v>284</v>
      </c>
      <c r="E41" s="2"/>
      <c r="F41" s="9"/>
      <c r="G41" s="6"/>
      <c r="H41" s="5"/>
      <c r="I41" s="5"/>
      <c r="J41" s="5"/>
      <c r="K41" s="5"/>
      <c r="L41" s="5"/>
      <c r="M41" s="5"/>
    </row>
    <row r="42" spans="1:13" ht="15" customHeight="1">
      <c r="A42" s="2" t="s">
        <v>38</v>
      </c>
      <c r="B42" s="2" t="s">
        <v>9</v>
      </c>
      <c r="C42" s="3" t="str">
        <f t="shared" si="1"/>
        <v>ABAP_IS2</v>
      </c>
      <c r="D42" s="18" t="s">
        <v>284</v>
      </c>
      <c r="E42" s="2"/>
      <c r="F42" s="9"/>
      <c r="G42" s="6"/>
      <c r="H42" s="5"/>
      <c r="I42" s="5"/>
      <c r="J42" s="5"/>
      <c r="K42" s="5"/>
      <c r="L42" s="5"/>
      <c r="M42" s="5"/>
    </row>
    <row r="43" spans="1:13" ht="15" customHeight="1">
      <c r="A43" s="2" t="s">
        <v>38</v>
      </c>
      <c r="B43" s="2" t="s">
        <v>11</v>
      </c>
      <c r="C43" s="3" t="str">
        <f t="shared" si="1"/>
        <v>ABAP_IS3</v>
      </c>
      <c r="D43" s="18" t="s">
        <v>41</v>
      </c>
      <c r="E43" s="2"/>
      <c r="F43" s="9"/>
      <c r="G43" s="6"/>
      <c r="H43" s="5"/>
      <c r="I43" s="5"/>
      <c r="J43" s="5"/>
      <c r="K43" s="5"/>
      <c r="L43" s="5"/>
      <c r="M43" s="5"/>
    </row>
    <row r="44" spans="1:13" ht="15" customHeight="1">
      <c r="A44" s="2" t="s">
        <v>38</v>
      </c>
      <c r="B44" s="2" t="s">
        <v>13</v>
      </c>
      <c r="C44" s="3" t="str">
        <f t="shared" si="1"/>
        <v>ABAP_IS4</v>
      </c>
      <c r="D44" s="18" t="s">
        <v>42</v>
      </c>
      <c r="E44" s="2"/>
      <c r="F44" s="9"/>
      <c r="G44" s="6"/>
      <c r="H44" s="5"/>
      <c r="I44" s="5"/>
      <c r="J44" s="5"/>
      <c r="K44" s="5"/>
      <c r="L44" s="5"/>
      <c r="M44" s="5"/>
    </row>
    <row r="45" spans="1:13" ht="15" customHeight="1">
      <c r="A45" s="2" t="s">
        <v>38</v>
      </c>
      <c r="B45" s="2" t="s">
        <v>18</v>
      </c>
      <c r="C45" s="3" t="str">
        <f t="shared" si="1"/>
        <v>ABAP_IS5</v>
      </c>
      <c r="D45" s="18" t="s">
        <v>42</v>
      </c>
      <c r="E45" s="2"/>
      <c r="F45" s="9"/>
      <c r="G45" s="6"/>
      <c r="H45" s="5"/>
      <c r="I45" s="5"/>
      <c r="J45" s="5"/>
      <c r="K45" s="5"/>
      <c r="L45" s="5"/>
      <c r="M45" s="5"/>
    </row>
    <row r="46" spans="1:13" ht="15" customHeight="1">
      <c r="A46" s="2" t="s">
        <v>38</v>
      </c>
      <c r="B46" s="2" t="s">
        <v>43</v>
      </c>
      <c r="C46" s="3" t="str">
        <f t="shared" si="1"/>
        <v>ABAP_IS6</v>
      </c>
      <c r="D46" s="18" t="s">
        <v>42</v>
      </c>
      <c r="E46" s="2"/>
      <c r="F46" s="9"/>
      <c r="G46" s="6"/>
      <c r="H46" s="5"/>
      <c r="I46" s="5"/>
      <c r="J46" s="5"/>
      <c r="K46" s="5"/>
      <c r="L46" s="5"/>
      <c r="M46" s="5"/>
    </row>
    <row r="47" spans="1:13" ht="15" customHeight="1">
      <c r="A47" s="7"/>
      <c r="B47" s="7"/>
      <c r="C47" s="3"/>
      <c r="D47" s="21"/>
      <c r="E47" s="7"/>
      <c r="F47" s="9"/>
      <c r="G47" s="6"/>
      <c r="H47" s="5"/>
      <c r="I47" s="5"/>
      <c r="J47" s="5"/>
      <c r="K47" s="5"/>
      <c r="L47" s="5"/>
      <c r="M47" s="5"/>
    </row>
    <row r="48" spans="1:13" ht="15" customHeight="1">
      <c r="A48" s="2" t="s">
        <v>44</v>
      </c>
      <c r="B48" s="2" t="s">
        <v>9</v>
      </c>
      <c r="C48" s="3" t="str">
        <f>_xlfn.CONCAT(A48,"_",B48)</f>
        <v>Portal_IS2</v>
      </c>
      <c r="D48" s="18" t="s">
        <v>285</v>
      </c>
      <c r="E48" s="2"/>
      <c r="F48" s="9"/>
      <c r="G48" s="6"/>
      <c r="H48" s="5"/>
      <c r="I48" s="5"/>
      <c r="J48" s="5"/>
      <c r="K48" s="5"/>
      <c r="L48" s="5"/>
      <c r="M48" s="5"/>
    </row>
    <row r="49" spans="1:13" ht="15" customHeight="1">
      <c r="A49" s="2" t="s">
        <v>44</v>
      </c>
      <c r="B49" s="2" t="s">
        <v>11</v>
      </c>
      <c r="C49" s="3" t="str">
        <f>_xlfn.CONCAT(A49,"_",B49)</f>
        <v>Portal_IS3</v>
      </c>
      <c r="D49" s="18" t="s">
        <v>286</v>
      </c>
      <c r="E49" s="2"/>
      <c r="F49" s="9"/>
      <c r="G49" s="6"/>
      <c r="H49" s="5"/>
      <c r="I49" s="5"/>
      <c r="J49" s="5"/>
      <c r="K49" s="5"/>
      <c r="L49" s="5"/>
      <c r="M49" s="5"/>
    </row>
    <row r="50" spans="1:13" ht="15" customHeight="1">
      <c r="A50" s="7"/>
      <c r="B50" s="7"/>
      <c r="C50" s="3"/>
      <c r="D50" s="21"/>
      <c r="E50" s="7"/>
      <c r="F50" s="9"/>
      <c r="G50" s="6"/>
      <c r="H50" s="5"/>
      <c r="I50" s="5"/>
      <c r="J50" s="5"/>
      <c r="K50" s="5"/>
      <c r="L50" s="5"/>
      <c r="M50" s="5"/>
    </row>
    <row r="51" spans="1:13" ht="15" customHeight="1">
      <c r="A51" s="2" t="s">
        <v>47</v>
      </c>
      <c r="B51" s="2" t="s">
        <v>9</v>
      </c>
      <c r="C51" s="3" t="str">
        <f>_xlfn.CONCAT(A51,"_",B51)</f>
        <v>GRC (Access and Process control)_IS2</v>
      </c>
      <c r="D51" s="18" t="s">
        <v>287</v>
      </c>
      <c r="E51" s="2"/>
      <c r="F51" s="9"/>
      <c r="G51" s="6"/>
      <c r="H51" s="5"/>
      <c r="I51" s="5"/>
      <c r="J51" s="5"/>
      <c r="K51" s="5"/>
      <c r="L51" s="5"/>
      <c r="M51" s="5"/>
    </row>
    <row r="52" spans="1:13" ht="15" customHeight="1">
      <c r="A52" s="2" t="s">
        <v>47</v>
      </c>
      <c r="B52" s="2" t="s">
        <v>11</v>
      </c>
      <c r="C52" s="3" t="str">
        <f>_xlfn.CONCAT(A52,"_",B52)</f>
        <v>GRC (Access and Process control)_IS3</v>
      </c>
      <c r="D52" s="18" t="s">
        <v>288</v>
      </c>
      <c r="E52" s="2"/>
      <c r="F52" s="9"/>
      <c r="G52" s="6"/>
      <c r="H52" s="5"/>
      <c r="I52" s="5"/>
      <c r="J52" s="5"/>
      <c r="K52" s="5"/>
      <c r="L52" s="5"/>
      <c r="M52" s="5"/>
    </row>
    <row r="53" spans="1:13" ht="15" customHeight="1">
      <c r="A53" s="2" t="s">
        <v>47</v>
      </c>
      <c r="B53" s="2" t="s">
        <v>13</v>
      </c>
      <c r="C53" s="3" t="str">
        <f>_xlfn.CONCAT(A53,"_",B53)</f>
        <v>GRC (Access and Process control)_IS4</v>
      </c>
      <c r="D53" s="18" t="s">
        <v>289</v>
      </c>
      <c r="E53" s="2"/>
      <c r="F53" s="9"/>
      <c r="G53" s="6"/>
      <c r="H53" s="5"/>
      <c r="I53" s="5"/>
      <c r="J53" s="5"/>
      <c r="K53" s="5"/>
      <c r="L53" s="5"/>
      <c r="M53" s="5"/>
    </row>
    <row r="54" spans="1:13" ht="15" customHeight="1">
      <c r="A54" s="11"/>
      <c r="B54" s="11"/>
      <c r="C54" s="3"/>
      <c r="D54" s="23"/>
      <c r="E54" s="11"/>
      <c r="F54" s="9"/>
      <c r="G54" s="6"/>
      <c r="H54" s="5"/>
      <c r="I54" s="5"/>
      <c r="J54" s="5"/>
      <c r="K54" s="5"/>
      <c r="L54" s="5"/>
      <c r="M54" s="5"/>
    </row>
    <row r="55" spans="1:13" ht="15" customHeight="1">
      <c r="A55" s="2" t="s">
        <v>51</v>
      </c>
      <c r="B55" s="2" t="s">
        <v>7</v>
      </c>
      <c r="C55" s="3" t="str">
        <f>_xlfn.CONCAT(A55,"_",B55)</f>
        <v>SAP Security+GRC_IS1</v>
      </c>
      <c r="D55" s="18" t="s">
        <v>287</v>
      </c>
      <c r="E55" s="2"/>
      <c r="F55" s="9"/>
      <c r="G55" s="6"/>
      <c r="H55" s="5"/>
      <c r="I55" s="5"/>
      <c r="J55" s="5"/>
      <c r="K55" s="5"/>
      <c r="L55" s="5"/>
      <c r="M55" s="5"/>
    </row>
    <row r="56" spans="1:13" ht="15" customHeight="1">
      <c r="A56" s="2" t="s">
        <v>51</v>
      </c>
      <c r="B56" s="2" t="s">
        <v>9</v>
      </c>
      <c r="C56" s="3" t="str">
        <f>_xlfn.CONCAT(A56,"_",B56)</f>
        <v>SAP Security+GRC_IS2</v>
      </c>
      <c r="D56" s="18" t="s">
        <v>287</v>
      </c>
      <c r="E56" s="2"/>
      <c r="F56" s="9"/>
      <c r="G56" s="6"/>
      <c r="H56" s="5"/>
      <c r="I56" s="5"/>
      <c r="J56" s="5"/>
      <c r="K56" s="5"/>
      <c r="L56" s="5"/>
      <c r="M56" s="5"/>
    </row>
    <row r="57" spans="1:13" ht="15" customHeight="1">
      <c r="A57" s="2" t="s">
        <v>51</v>
      </c>
      <c r="B57" s="2" t="s">
        <v>11</v>
      </c>
      <c r="C57" s="3" t="str">
        <f>_xlfn.CONCAT(A57,"_",B57)</f>
        <v>SAP Security+GRC_IS3</v>
      </c>
      <c r="D57" s="18" t="s">
        <v>288</v>
      </c>
      <c r="E57" s="2"/>
      <c r="F57" s="9"/>
      <c r="G57" s="6"/>
      <c r="H57" s="5"/>
      <c r="I57" s="5"/>
      <c r="J57" s="5"/>
      <c r="K57" s="5"/>
      <c r="L57" s="5"/>
      <c r="M57" s="5"/>
    </row>
    <row r="58" spans="1:13" ht="15" customHeight="1">
      <c r="A58" s="2" t="s">
        <v>51</v>
      </c>
      <c r="B58" s="2" t="s">
        <v>13</v>
      </c>
      <c r="C58" s="3" t="str">
        <f>_xlfn.CONCAT(A58,"_",B58)</f>
        <v>SAP Security+GRC_IS4</v>
      </c>
      <c r="D58" s="18" t="s">
        <v>289</v>
      </c>
      <c r="E58" s="2"/>
      <c r="F58" s="9"/>
      <c r="G58" s="6"/>
      <c r="H58" s="5"/>
      <c r="I58" s="5"/>
      <c r="J58" s="5"/>
      <c r="K58" s="5"/>
      <c r="L58" s="5"/>
      <c r="M58" s="5"/>
    </row>
    <row r="59" spans="1:13" ht="15" customHeight="1">
      <c r="A59" s="11"/>
      <c r="B59" s="11"/>
      <c r="C59" s="3"/>
      <c r="D59" s="23"/>
      <c r="E59" s="11"/>
      <c r="F59" s="9"/>
      <c r="G59" s="6"/>
      <c r="H59" s="5"/>
      <c r="I59" s="5"/>
      <c r="J59" s="5"/>
      <c r="K59" s="5"/>
      <c r="L59" s="5"/>
      <c r="M59" s="5"/>
    </row>
    <row r="60" spans="1:13" ht="15" customHeight="1">
      <c r="A60" s="2" t="s">
        <v>53</v>
      </c>
      <c r="B60" s="2" t="s">
        <v>9</v>
      </c>
      <c r="C60" s="3" t="str">
        <f>_xlfn.CONCAT(A60,"_",B60)</f>
        <v>FICO+CFIN/SLT_IS2</v>
      </c>
      <c r="D60" s="18" t="s">
        <v>280</v>
      </c>
      <c r="E60" s="2"/>
      <c r="F60" s="9"/>
      <c r="G60" s="6"/>
      <c r="H60" s="5"/>
      <c r="I60" s="5"/>
      <c r="J60" s="5"/>
      <c r="K60" s="5"/>
      <c r="L60" s="5"/>
      <c r="M60" s="5"/>
    </row>
    <row r="61" spans="1:13" ht="15" customHeight="1">
      <c r="A61" s="2" t="s">
        <v>53</v>
      </c>
      <c r="B61" s="2" t="s">
        <v>11</v>
      </c>
      <c r="C61" s="3" t="str">
        <f>_xlfn.CONCAT(A61,"_",B61)</f>
        <v>FICO+CFIN/SLT_IS3</v>
      </c>
      <c r="D61" s="18" t="s">
        <v>281</v>
      </c>
      <c r="E61" s="2"/>
      <c r="F61" s="9"/>
      <c r="G61" s="6"/>
      <c r="H61" s="5"/>
      <c r="I61" s="5"/>
      <c r="J61" s="5"/>
      <c r="K61" s="5"/>
      <c r="L61" s="5"/>
      <c r="M61" s="5"/>
    </row>
    <row r="62" spans="1:13" ht="15" customHeight="1">
      <c r="A62" s="2" t="s">
        <v>53</v>
      </c>
      <c r="B62" s="2" t="s">
        <v>13</v>
      </c>
      <c r="C62" s="3" t="str">
        <f>_xlfn.CONCAT(A62,"_",B62)</f>
        <v>FICO+CFIN/SLT_IS4</v>
      </c>
      <c r="D62" s="18" t="s">
        <v>290</v>
      </c>
      <c r="E62" s="2"/>
      <c r="F62" s="9"/>
      <c r="G62" s="6"/>
      <c r="H62" s="5"/>
      <c r="I62" s="5"/>
      <c r="J62" s="5"/>
      <c r="K62" s="5"/>
      <c r="L62" s="5"/>
      <c r="M62" s="5"/>
    </row>
    <row r="63" spans="1:13" ht="15" customHeight="1">
      <c r="A63" s="7"/>
      <c r="B63" s="7"/>
      <c r="C63" s="3"/>
      <c r="D63" s="21"/>
      <c r="E63" s="7"/>
      <c r="F63" s="9"/>
      <c r="G63" s="6"/>
      <c r="H63" s="5"/>
      <c r="I63" s="5"/>
      <c r="J63" s="5"/>
      <c r="K63" s="5"/>
      <c r="L63" s="5"/>
      <c r="M63" s="5"/>
    </row>
    <row r="64" spans="1:13" ht="15" customHeight="1">
      <c r="A64" s="27" t="s">
        <v>55</v>
      </c>
      <c r="B64" s="2" t="s">
        <v>9</v>
      </c>
      <c r="C64" s="3" t="str">
        <f>_xlfn.CONCAT(A64,"_",B64)</f>
        <v>S&amp;V (Fixed asset mgmt)_IS2</v>
      </c>
      <c r="D64" s="22"/>
      <c r="E64" s="2"/>
      <c r="F64" s="9"/>
      <c r="G64" s="6"/>
      <c r="H64" s="5"/>
      <c r="I64" s="5"/>
      <c r="J64" s="5"/>
      <c r="K64" s="5"/>
      <c r="L64" s="5"/>
      <c r="M64" s="5"/>
    </row>
    <row r="65" spans="1:13" ht="15" customHeight="1">
      <c r="A65" s="27" t="s">
        <v>55</v>
      </c>
      <c r="B65" s="2" t="s">
        <v>11</v>
      </c>
      <c r="C65" s="3" t="str">
        <f>_xlfn.CONCAT(A65,"_",B65)</f>
        <v>S&amp;V (Fixed asset mgmt)_IS3</v>
      </c>
      <c r="D65" s="22"/>
      <c r="E65" s="2"/>
      <c r="F65" s="9"/>
      <c r="G65" s="6"/>
      <c r="H65" s="5"/>
      <c r="I65" s="5"/>
      <c r="J65" s="5"/>
      <c r="K65" s="5"/>
      <c r="L65" s="5"/>
      <c r="M65" s="5"/>
    </row>
    <row r="66" spans="1:13" ht="15" customHeight="1">
      <c r="A66" s="7"/>
      <c r="B66" s="7"/>
      <c r="C66" s="3"/>
      <c r="D66" s="21"/>
      <c r="E66" s="7"/>
      <c r="F66" s="9"/>
      <c r="G66" s="6"/>
      <c r="H66" s="5"/>
      <c r="I66" s="5"/>
      <c r="J66" s="5"/>
      <c r="K66" s="5"/>
      <c r="L66" s="5"/>
      <c r="M66" s="5"/>
    </row>
    <row r="67" spans="1:13" ht="15" customHeight="1">
      <c r="A67" s="2" t="s">
        <v>56</v>
      </c>
      <c r="B67" s="2" t="s">
        <v>7</v>
      </c>
      <c r="C67" s="3" t="str">
        <f>_xlfn.CONCAT(A67,"_",B67)</f>
        <v>SAP Basis_IS1</v>
      </c>
      <c r="D67" s="18" t="s">
        <v>291</v>
      </c>
      <c r="E67" s="2"/>
      <c r="F67" s="9"/>
      <c r="G67" s="6"/>
      <c r="H67" s="5"/>
      <c r="I67" s="5"/>
      <c r="J67" s="5"/>
      <c r="K67" s="5"/>
      <c r="L67" s="5"/>
      <c r="M67" s="5"/>
    </row>
    <row r="68" spans="1:13" ht="15" customHeight="1">
      <c r="A68" s="2" t="s">
        <v>56</v>
      </c>
      <c r="B68" s="2" t="s">
        <v>9</v>
      </c>
      <c r="C68" s="3" t="str">
        <f>_xlfn.CONCAT(A68,"_",B68)</f>
        <v>SAP Basis_IS2</v>
      </c>
      <c r="D68" s="18" t="s">
        <v>291</v>
      </c>
      <c r="E68" s="2"/>
      <c r="F68" s="9"/>
      <c r="G68" s="6"/>
      <c r="H68" s="5"/>
      <c r="I68" s="5"/>
      <c r="J68" s="5"/>
      <c r="K68" s="5"/>
      <c r="L68" s="5"/>
      <c r="M68" s="5"/>
    </row>
    <row r="69" spans="1:13" ht="15" customHeight="1">
      <c r="A69" s="2" t="s">
        <v>56</v>
      </c>
      <c r="B69" s="2" t="s">
        <v>11</v>
      </c>
      <c r="C69" s="3" t="str">
        <f>_xlfn.CONCAT(A69,"_",B69)</f>
        <v>SAP Basis_IS3</v>
      </c>
      <c r="D69" s="18" t="s">
        <v>292</v>
      </c>
      <c r="E69" s="2"/>
      <c r="F69" s="9"/>
      <c r="G69" s="6"/>
      <c r="H69" s="5"/>
      <c r="I69" s="5"/>
      <c r="J69" s="5"/>
      <c r="K69" s="5"/>
      <c r="L69" s="5"/>
      <c r="M69" s="5"/>
    </row>
    <row r="70" spans="1:13" ht="15" customHeight="1">
      <c r="A70" s="2" t="s">
        <v>56</v>
      </c>
      <c r="B70" s="2" t="s">
        <v>13</v>
      </c>
      <c r="C70" s="3" t="str">
        <f>_xlfn.CONCAT(A70,"_",B70)</f>
        <v>SAP Basis_IS4</v>
      </c>
      <c r="D70" s="18" t="s">
        <v>293</v>
      </c>
      <c r="E70" s="2"/>
      <c r="F70" s="9"/>
      <c r="G70" s="6"/>
      <c r="H70" s="5"/>
      <c r="I70" s="5"/>
      <c r="J70" s="5"/>
      <c r="K70" s="5"/>
      <c r="L70" s="5"/>
      <c r="M70" s="5"/>
    </row>
    <row r="71" spans="1:13" ht="15" customHeight="1">
      <c r="A71" s="2" t="s">
        <v>56</v>
      </c>
      <c r="B71" s="2" t="s">
        <v>18</v>
      </c>
      <c r="C71" s="3" t="str">
        <f>_xlfn.CONCAT(A71,"_",B71)</f>
        <v>SAP Basis_IS5</v>
      </c>
      <c r="D71" s="18" t="s">
        <v>61</v>
      </c>
      <c r="E71" s="2"/>
      <c r="F71" s="9"/>
      <c r="G71" s="6"/>
      <c r="H71" s="5"/>
      <c r="I71" s="5"/>
      <c r="J71" s="5"/>
      <c r="K71" s="5"/>
      <c r="L71" s="5"/>
      <c r="M71" s="5"/>
    </row>
    <row r="72" spans="1:13" ht="15" customHeight="1">
      <c r="A72" s="7"/>
      <c r="B72" s="7"/>
      <c r="C72" s="3"/>
      <c r="D72" s="21"/>
      <c r="E72" s="7"/>
      <c r="F72" s="9"/>
      <c r="G72" s="6"/>
      <c r="H72" s="5"/>
      <c r="I72" s="5"/>
      <c r="J72" s="5"/>
      <c r="K72" s="5"/>
      <c r="L72" s="5"/>
      <c r="M72" s="5"/>
    </row>
    <row r="73" spans="1:13" ht="15" customHeight="1">
      <c r="A73" s="2" t="s">
        <v>62</v>
      </c>
      <c r="B73" s="2" t="s">
        <v>7</v>
      </c>
      <c r="C73" s="3" t="str">
        <f>_xlfn.CONCAT(A73,"_",B73)</f>
        <v>APO (DP, SNP, TLB) + SNC_IS1</v>
      </c>
      <c r="D73" s="18" t="s">
        <v>64</v>
      </c>
      <c r="E73" s="2"/>
      <c r="F73" s="9"/>
      <c r="G73" s="6"/>
      <c r="H73" s="5"/>
      <c r="I73" s="5"/>
      <c r="J73" s="5"/>
      <c r="K73" s="5"/>
      <c r="L73" s="5"/>
      <c r="M73" s="5"/>
    </row>
    <row r="74" spans="1:13" ht="15" customHeight="1">
      <c r="A74" s="2" t="s">
        <v>62</v>
      </c>
      <c r="B74" s="2" t="s">
        <v>9</v>
      </c>
      <c r="C74" s="3" t="str">
        <f>_xlfn.CONCAT(A74,"_",B74)</f>
        <v>APO (DP, SNP, TLB) + SNC_IS2</v>
      </c>
      <c r="D74" s="18" t="s">
        <v>64</v>
      </c>
      <c r="E74" s="2"/>
      <c r="F74" s="9"/>
      <c r="G74" s="6"/>
      <c r="H74" s="5"/>
      <c r="I74" s="5"/>
      <c r="J74" s="5"/>
      <c r="K74" s="5"/>
      <c r="L74" s="5"/>
      <c r="M74" s="5"/>
    </row>
    <row r="75" spans="1:13" ht="15" customHeight="1">
      <c r="A75" s="2" t="s">
        <v>62</v>
      </c>
      <c r="B75" s="2" t="s">
        <v>11</v>
      </c>
      <c r="C75" s="3" t="str">
        <f>_xlfn.CONCAT(A75,"_",B75)</f>
        <v>APO (DP, SNP, TLB) + SNC_IS3</v>
      </c>
      <c r="D75" s="18" t="s">
        <v>294</v>
      </c>
      <c r="E75" s="2"/>
      <c r="F75" s="9"/>
      <c r="G75" s="6"/>
      <c r="H75" s="5"/>
      <c r="I75" s="5"/>
      <c r="J75" s="5"/>
      <c r="K75" s="5"/>
      <c r="L75" s="5"/>
      <c r="M75" s="5"/>
    </row>
    <row r="76" spans="1:13" ht="15" customHeight="1">
      <c r="A76" s="2" t="s">
        <v>62</v>
      </c>
      <c r="B76" s="2" t="s">
        <v>13</v>
      </c>
      <c r="C76" s="3" t="str">
        <f>_xlfn.CONCAT(A76,"_",B76)</f>
        <v>APO (DP, SNP, TLB) + SNC_IS4</v>
      </c>
      <c r="D76" s="18" t="s">
        <v>295</v>
      </c>
      <c r="E76" s="2"/>
      <c r="F76" s="9"/>
      <c r="G76" s="6"/>
      <c r="H76" s="5"/>
      <c r="I76" s="5"/>
      <c r="J76" s="5"/>
      <c r="K76" s="5"/>
      <c r="L76" s="5"/>
      <c r="M76" s="5"/>
    </row>
    <row r="77" spans="1:13" ht="15" customHeight="1">
      <c r="A77" s="2" t="s">
        <v>62</v>
      </c>
      <c r="B77" s="2" t="s">
        <v>18</v>
      </c>
      <c r="C77" s="3" t="str">
        <f>_xlfn.CONCAT(A77,"_",B77)</f>
        <v>APO (DP, SNP, TLB) + SNC_IS5</v>
      </c>
      <c r="D77" s="18" t="s">
        <v>67</v>
      </c>
      <c r="E77" s="2"/>
      <c r="F77" s="9"/>
      <c r="G77" s="6"/>
      <c r="H77" s="5"/>
      <c r="I77" s="5"/>
      <c r="J77" s="5"/>
      <c r="K77" s="5"/>
      <c r="L77" s="5"/>
      <c r="M77" s="5"/>
    </row>
    <row r="78" spans="1:13" ht="15" customHeight="1">
      <c r="A78" s="7"/>
      <c r="B78" s="7"/>
      <c r="C78" s="3"/>
      <c r="D78" s="21"/>
      <c r="E78" s="7"/>
      <c r="F78" s="9"/>
      <c r="G78" s="6"/>
      <c r="H78" s="5"/>
      <c r="I78" s="5"/>
      <c r="J78" s="5"/>
      <c r="K78" s="5"/>
      <c r="L78" s="5"/>
      <c r="M78" s="5"/>
    </row>
    <row r="79" spans="1:13" ht="15" customHeight="1">
      <c r="A79" s="2" t="s">
        <v>68</v>
      </c>
      <c r="B79" s="2" t="s">
        <v>9</v>
      </c>
      <c r="C79" s="3" t="str">
        <f>_xlfn.CONCAT(A79,"_",B79)</f>
        <v>Vistex (SD,LE) - Non TCS - Canada, Niche (ABAP, SD, FI)_IS2</v>
      </c>
      <c r="D79" s="18" t="s">
        <v>296</v>
      </c>
      <c r="E79" s="2"/>
      <c r="F79" s="9"/>
      <c r="G79" s="6"/>
      <c r="H79" s="5"/>
      <c r="I79" s="5"/>
      <c r="J79" s="5"/>
      <c r="K79" s="5"/>
      <c r="L79" s="5"/>
      <c r="M79" s="5"/>
    </row>
    <row r="80" spans="1:13" ht="15" customHeight="1">
      <c r="A80" s="2" t="s">
        <v>68</v>
      </c>
      <c r="B80" s="2" t="s">
        <v>11</v>
      </c>
      <c r="C80" s="3" t="str">
        <f>_xlfn.CONCAT(A80,"_",B80)</f>
        <v>Vistex (SD,LE) - Non TCS - Canada, Niche (ABAP, SD, FI)_IS3</v>
      </c>
      <c r="D80" s="18" t="s">
        <v>297</v>
      </c>
      <c r="E80" s="2"/>
      <c r="F80" s="9"/>
      <c r="G80" s="6"/>
      <c r="H80" s="5"/>
      <c r="I80" s="5"/>
      <c r="J80" s="5"/>
      <c r="K80" s="5"/>
      <c r="L80" s="5"/>
      <c r="M80" s="5"/>
    </row>
    <row r="81" spans="1:13" ht="15" customHeight="1">
      <c r="A81" s="7"/>
      <c r="B81" s="7"/>
      <c r="C81" s="3"/>
      <c r="D81" s="21"/>
      <c r="E81" s="7"/>
      <c r="F81" s="9"/>
      <c r="G81" s="6"/>
      <c r="H81" s="5"/>
      <c r="I81" s="5"/>
      <c r="J81" s="5"/>
      <c r="K81" s="5"/>
      <c r="L81" s="5"/>
      <c r="M81" s="5"/>
    </row>
    <row r="82" spans="1:13" ht="15" customHeight="1">
      <c r="A82" s="27" t="s">
        <v>72</v>
      </c>
      <c r="B82" s="2" t="s">
        <v>9</v>
      </c>
      <c r="C82" s="3" t="str">
        <f>_xlfn.CONCAT(A82,"_",B82)</f>
        <v>CPS_IS2</v>
      </c>
      <c r="D82" s="22"/>
      <c r="E82" s="2"/>
      <c r="F82" s="9"/>
      <c r="G82" s="6"/>
      <c r="H82" s="5"/>
      <c r="I82" s="5"/>
      <c r="J82" s="5"/>
      <c r="K82" s="5"/>
      <c r="L82" s="5"/>
      <c r="M82" s="5"/>
    </row>
    <row r="83" spans="1:13" ht="15" customHeight="1">
      <c r="A83" s="27" t="s">
        <v>72</v>
      </c>
      <c r="B83" s="2" t="s">
        <v>11</v>
      </c>
      <c r="C83" s="3" t="str">
        <f>_xlfn.CONCAT(A83,"_",B83)</f>
        <v>CPS_IS3</v>
      </c>
      <c r="D83" s="22"/>
      <c r="E83" s="2"/>
      <c r="F83" s="9"/>
      <c r="G83" s="6"/>
      <c r="H83" s="5"/>
      <c r="I83" s="5"/>
      <c r="J83" s="5"/>
      <c r="K83" s="5"/>
      <c r="L83" s="5"/>
      <c r="M83" s="5"/>
    </row>
    <row r="84" spans="1:13" ht="15" customHeight="1">
      <c r="A84" s="27" t="s">
        <v>72</v>
      </c>
      <c r="B84" s="2" t="s">
        <v>13</v>
      </c>
      <c r="C84" s="3" t="str">
        <f>_xlfn.CONCAT(A84,"_",B84)</f>
        <v>CPS_IS4</v>
      </c>
      <c r="D84" s="22"/>
      <c r="E84" s="2"/>
      <c r="F84" s="9"/>
      <c r="G84" s="6"/>
      <c r="H84" s="5"/>
      <c r="I84" s="5"/>
      <c r="J84" s="5"/>
      <c r="K84" s="5"/>
      <c r="L84" s="5"/>
      <c r="M84" s="5"/>
    </row>
    <row r="85" spans="1:13" ht="15" customHeight="1">
      <c r="A85" s="7"/>
      <c r="B85" s="7"/>
      <c r="C85" s="3"/>
      <c r="D85" s="21"/>
      <c r="E85" s="7"/>
      <c r="F85" s="9"/>
      <c r="G85" s="6"/>
      <c r="H85" s="5"/>
      <c r="I85" s="5"/>
      <c r="J85" s="5"/>
      <c r="K85" s="5"/>
      <c r="L85" s="5"/>
      <c r="M85" s="5"/>
    </row>
    <row r="86" spans="1:13" ht="15" customHeight="1">
      <c r="A86" s="2" t="s">
        <v>76</v>
      </c>
      <c r="B86" s="2" t="s">
        <v>9</v>
      </c>
      <c r="C86" s="3" t="str">
        <f>_xlfn.CONCAT(A86,"_",B86)</f>
        <v>PLM (MDG and ECC)_IS2</v>
      </c>
      <c r="D86" s="18" t="s">
        <v>298</v>
      </c>
      <c r="E86" s="2"/>
      <c r="F86" s="9"/>
      <c r="G86" s="6"/>
      <c r="H86" s="5"/>
      <c r="I86" s="5"/>
      <c r="J86" s="5"/>
      <c r="K86" s="5"/>
      <c r="L86" s="5"/>
      <c r="M86" s="5"/>
    </row>
    <row r="87" spans="1:13" ht="15" customHeight="1">
      <c r="A87" s="2" t="s">
        <v>76</v>
      </c>
      <c r="B87" s="2" t="s">
        <v>11</v>
      </c>
      <c r="C87" s="3" t="str">
        <f>_xlfn.CONCAT(A87,"_",B87)</f>
        <v>PLM (MDG and ECC)_IS3</v>
      </c>
      <c r="D87" s="19" t="s">
        <v>299</v>
      </c>
      <c r="E87" s="13"/>
    </row>
    <row r="88" spans="1:13" ht="15" customHeight="1">
      <c r="A88" s="2" t="s">
        <v>76</v>
      </c>
      <c r="B88" s="2" t="s">
        <v>13</v>
      </c>
      <c r="C88" s="3" t="str">
        <f>_xlfn.CONCAT(A88,"_",B88)</f>
        <v>PLM (MDG and ECC)_IS4</v>
      </c>
      <c r="D88" s="19" t="s">
        <v>300</v>
      </c>
      <c r="E88" s="14"/>
    </row>
    <row r="89" spans="1:13" ht="15" customHeight="1">
      <c r="A89" s="11"/>
      <c r="B89" s="11"/>
      <c r="C89" s="12"/>
      <c r="D89" s="23"/>
      <c r="E89" s="15"/>
    </row>
    <row r="90" spans="1:13" ht="15" customHeight="1">
      <c r="A90" s="27" t="s">
        <v>80</v>
      </c>
      <c r="B90" s="2" t="s">
        <v>43</v>
      </c>
      <c r="C90" s="3" t="str">
        <f>_xlfn.CONCAT(A90,"_",B90)</f>
        <v>SAP Consultant_IS6</v>
      </c>
      <c r="D90" s="19"/>
      <c r="E90" s="14"/>
    </row>
    <row r="91" spans="1:13" ht="15" customHeight="1">
      <c r="A91" s="11"/>
      <c r="B91" s="11"/>
      <c r="C91" s="12"/>
      <c r="D91" s="23"/>
      <c r="E91" s="15"/>
    </row>
  </sheetData>
  <autoFilter ref="A1:M91" xr:uid="{25765877-B4EE-4155-906F-D376FBF21D7E}"/>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D0312F04-28E3-4232-9AEB-4D0F683AB002}">
          <x14:formula1>
            <xm:f>Metadata!$E$2:$E$34</xm:f>
          </x14:formula1>
          <xm:sqref>A2:A5 A60:A62 A82:A84 A41:A46 A90 A79:A80 A73:A77 A67:A71 A64:A65 A13:A17 A55:A58 A51:A53 A48:A49 A86:A88 A36:A39 A33:A34 A31 A28:A29 A26 A23:A24 A19:A21 A7:A11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7540-1467-0847-AE33-1F4B46D47DD6}">
  <dimension ref="A1:M30"/>
  <sheetViews>
    <sheetView workbookViewId="0">
      <pane xSplit="2" ySplit="1" topLeftCell="C2" activePane="bottomRight" state="frozen"/>
      <selection pane="bottomRight" activeCell="C2" sqref="C2"/>
      <selection pane="bottomLeft" activeCell="C2" sqref="C2"/>
      <selection pane="topRight" activeCell="C2" sqref="C2"/>
    </sheetView>
  </sheetViews>
  <sheetFormatPr defaultColWidth="8.42578125" defaultRowHeight="14.45"/>
  <cols>
    <col min="1" max="1" width="42.85546875" style="1" bestFit="1" customWidth="1"/>
    <col min="2" max="2" width="5.85546875" style="1" bestFit="1" customWidth="1"/>
    <col min="3" max="3" width="25" style="1" customWidth="1"/>
    <col min="4" max="4" width="78.140625" style="24" customWidth="1"/>
    <col min="5" max="5" width="20.42578125" style="1" customWidth="1"/>
    <col min="6" max="6" width="12.42578125" style="1" customWidth="1"/>
    <col min="7" max="7" width="8.42578125" style="1" bestFit="1" customWidth="1"/>
    <col min="8" max="9" width="6.42578125" style="1" bestFit="1" customWidth="1"/>
    <col min="10" max="10" width="7.42578125" style="1" bestFit="1" customWidth="1"/>
    <col min="11" max="12" width="8.42578125" style="1" bestFit="1" customWidth="1"/>
    <col min="13" max="13" width="6.42578125" style="1" bestFit="1" customWidth="1"/>
    <col min="14" max="16384" width="8.42578125" style="1"/>
  </cols>
  <sheetData>
    <row r="1" spans="1:13" customFormat="1">
      <c r="A1" s="25" t="s">
        <v>275</v>
      </c>
      <c r="B1" s="25" t="s">
        <v>1</v>
      </c>
      <c r="C1" s="25" t="s">
        <v>3</v>
      </c>
      <c r="D1" s="26" t="s">
        <v>4</v>
      </c>
      <c r="E1" s="25" t="s">
        <v>5</v>
      </c>
    </row>
    <row r="2" spans="1:13" ht="15" customHeight="1">
      <c r="A2" s="2" t="s">
        <v>81</v>
      </c>
      <c r="B2" s="2" t="s">
        <v>7</v>
      </c>
      <c r="C2" s="3" t="str">
        <f t="shared" ref="C2:C25" si="0">_xlfn.CONCAT(A2,"_",B2)</f>
        <v>SAP PO/PI/CPI_IS1</v>
      </c>
      <c r="D2" s="16" t="s">
        <v>301</v>
      </c>
      <c r="E2" s="4"/>
      <c r="F2" s="5"/>
      <c r="G2" s="6"/>
      <c r="H2" s="5"/>
      <c r="I2" s="5"/>
      <c r="J2" s="5"/>
      <c r="K2" s="5"/>
      <c r="L2" s="5"/>
      <c r="M2" s="5"/>
    </row>
    <row r="3" spans="1:13" ht="15" customHeight="1">
      <c r="A3" s="2" t="s">
        <v>81</v>
      </c>
      <c r="B3" s="2" t="s">
        <v>9</v>
      </c>
      <c r="C3" s="3" t="str">
        <f t="shared" si="0"/>
        <v>SAP PO/PI/CPI_IS2</v>
      </c>
      <c r="D3" s="16" t="s">
        <v>302</v>
      </c>
      <c r="E3" s="4"/>
      <c r="F3" s="5"/>
      <c r="G3" s="6"/>
      <c r="H3" s="5"/>
      <c r="I3" s="5"/>
      <c r="J3" s="5"/>
      <c r="K3" s="5"/>
      <c r="L3" s="5"/>
      <c r="M3" s="5"/>
    </row>
    <row r="4" spans="1:13" ht="15" customHeight="1">
      <c r="A4" s="2" t="s">
        <v>81</v>
      </c>
      <c r="B4" s="2" t="s">
        <v>11</v>
      </c>
      <c r="C4" s="3" t="str">
        <f t="shared" si="0"/>
        <v>SAP PO/PI/CPI_IS3</v>
      </c>
      <c r="D4" s="16" t="s">
        <v>84</v>
      </c>
      <c r="E4" s="4"/>
      <c r="F4" s="5"/>
      <c r="G4" s="6"/>
      <c r="H4" s="5"/>
      <c r="I4" s="5"/>
      <c r="J4" s="5"/>
      <c r="K4" s="5"/>
      <c r="L4" s="5"/>
      <c r="M4" s="5"/>
    </row>
    <row r="5" spans="1:13" ht="15" customHeight="1">
      <c r="A5" s="2" t="s">
        <v>81</v>
      </c>
      <c r="B5" s="2" t="s">
        <v>13</v>
      </c>
      <c r="C5" s="3" t="str">
        <f t="shared" si="0"/>
        <v>SAP PO/PI/CPI_IS4</v>
      </c>
      <c r="D5" s="16" t="s">
        <v>85</v>
      </c>
      <c r="E5" s="4"/>
      <c r="F5" s="5"/>
      <c r="G5" s="6"/>
      <c r="H5" s="5"/>
      <c r="I5" s="5"/>
      <c r="J5" s="5"/>
      <c r="K5" s="5"/>
      <c r="L5" s="5"/>
      <c r="M5" s="5"/>
    </row>
    <row r="6" spans="1:13" ht="15" customHeight="1">
      <c r="A6" s="2" t="s">
        <v>81</v>
      </c>
      <c r="B6" s="2" t="s">
        <v>18</v>
      </c>
      <c r="C6" s="3" t="str">
        <f t="shared" ref="C6" si="1">_xlfn.CONCAT(A6,"_",B6)</f>
        <v>SAP PO/PI/CPI_IS5</v>
      </c>
      <c r="D6" s="16" t="s">
        <v>86</v>
      </c>
      <c r="E6" s="4"/>
      <c r="F6" s="5"/>
      <c r="G6" s="6"/>
      <c r="H6" s="5"/>
      <c r="I6" s="5"/>
      <c r="J6" s="5"/>
      <c r="K6" s="5"/>
      <c r="L6" s="5"/>
      <c r="M6" s="5"/>
    </row>
    <row r="7" spans="1:13" ht="15" customHeight="1">
      <c r="A7" s="2" t="s">
        <v>81</v>
      </c>
      <c r="B7" s="2" t="s">
        <v>87</v>
      </c>
      <c r="C7" s="3" t="str">
        <f t="shared" si="0"/>
        <v>SAP PO/PI/CPI_I5+</v>
      </c>
      <c r="D7" s="16" t="s">
        <v>303</v>
      </c>
      <c r="E7" s="4"/>
      <c r="F7" s="5"/>
      <c r="G7" s="6"/>
      <c r="H7" s="5"/>
      <c r="I7" s="5"/>
      <c r="J7" s="5"/>
      <c r="K7" s="5"/>
      <c r="L7" s="5"/>
      <c r="M7" s="5"/>
    </row>
    <row r="8" spans="1:13" ht="15" customHeight="1">
      <c r="A8" s="7"/>
      <c r="B8" s="7"/>
      <c r="C8" s="7" t="str">
        <f t="shared" si="0"/>
        <v>_</v>
      </c>
      <c r="D8" s="20"/>
      <c r="E8" s="8"/>
      <c r="F8" s="5"/>
      <c r="G8" s="6"/>
      <c r="H8" s="5"/>
      <c r="I8" s="5"/>
      <c r="J8" s="5"/>
      <c r="K8" s="5"/>
      <c r="L8" s="5"/>
      <c r="M8" s="5"/>
    </row>
    <row r="9" spans="1:13" ht="15" customHeight="1">
      <c r="A9" s="2" t="s">
        <v>89</v>
      </c>
      <c r="B9" s="2" t="s">
        <v>7</v>
      </c>
      <c r="C9" s="3" t="str">
        <f t="shared" si="0"/>
        <v>Mulesoft_IS1</v>
      </c>
      <c r="D9" s="18" t="s">
        <v>90</v>
      </c>
      <c r="E9" s="2"/>
      <c r="F9" s="9"/>
      <c r="G9" s="6"/>
      <c r="H9" s="5"/>
      <c r="I9" s="5"/>
      <c r="J9" s="5"/>
      <c r="K9" s="5"/>
      <c r="L9" s="5"/>
      <c r="M9" s="5"/>
    </row>
    <row r="10" spans="1:13" ht="15" customHeight="1">
      <c r="A10" s="2" t="s">
        <v>89</v>
      </c>
      <c r="B10" s="2" t="s">
        <v>9</v>
      </c>
      <c r="C10" s="3" t="str">
        <f t="shared" si="0"/>
        <v>Mulesoft_IS2</v>
      </c>
      <c r="D10" s="18" t="s">
        <v>304</v>
      </c>
      <c r="E10" s="2"/>
      <c r="F10" s="9"/>
      <c r="G10" s="6"/>
      <c r="H10" s="5"/>
      <c r="I10" s="5"/>
      <c r="J10" s="5"/>
      <c r="K10" s="5"/>
      <c r="L10" s="5"/>
      <c r="M10" s="5"/>
    </row>
    <row r="11" spans="1:13" ht="15" customHeight="1">
      <c r="A11" s="2" t="s">
        <v>89</v>
      </c>
      <c r="B11" s="2" t="s">
        <v>11</v>
      </c>
      <c r="C11" s="3" t="str">
        <f t="shared" si="0"/>
        <v>Mulesoft_IS3</v>
      </c>
      <c r="D11" s="18" t="s">
        <v>92</v>
      </c>
      <c r="E11" s="2"/>
      <c r="F11" s="9"/>
      <c r="G11" s="6"/>
      <c r="H11" s="5"/>
      <c r="I11" s="5"/>
      <c r="J11" s="5"/>
      <c r="K11" s="5"/>
      <c r="L11" s="5"/>
      <c r="M11" s="5"/>
    </row>
    <row r="12" spans="1:13" ht="15" customHeight="1">
      <c r="A12" s="2" t="s">
        <v>89</v>
      </c>
      <c r="B12" s="2" t="s">
        <v>13</v>
      </c>
      <c r="C12" s="3" t="str">
        <f t="shared" si="0"/>
        <v>Mulesoft_IS4</v>
      </c>
      <c r="D12" s="18" t="s">
        <v>305</v>
      </c>
      <c r="E12" s="2"/>
      <c r="F12" s="9"/>
      <c r="G12" s="6"/>
      <c r="H12" s="5"/>
      <c r="I12" s="5"/>
      <c r="J12" s="5"/>
      <c r="K12" s="5"/>
      <c r="L12" s="5"/>
      <c r="M12" s="5"/>
    </row>
    <row r="13" spans="1:13" ht="15" customHeight="1">
      <c r="A13" s="2" t="s">
        <v>89</v>
      </c>
      <c r="B13" s="2" t="s">
        <v>18</v>
      </c>
      <c r="C13" s="3" t="str">
        <f t="shared" si="0"/>
        <v>Mulesoft_IS5</v>
      </c>
      <c r="D13" s="18" t="s">
        <v>306</v>
      </c>
      <c r="E13" s="2"/>
      <c r="F13" s="9"/>
      <c r="G13" s="6"/>
      <c r="H13" s="5"/>
      <c r="I13" s="5"/>
      <c r="J13" s="5"/>
      <c r="K13" s="5"/>
      <c r="L13" s="5"/>
      <c r="M13" s="5"/>
    </row>
    <row r="14" spans="1:13" ht="15" customHeight="1">
      <c r="A14" s="7"/>
      <c r="B14" s="7"/>
      <c r="C14" s="7" t="str">
        <f t="shared" si="0"/>
        <v>_</v>
      </c>
      <c r="D14" s="20"/>
      <c r="E14" s="8"/>
      <c r="F14" s="9"/>
      <c r="G14" s="6"/>
      <c r="H14" s="5"/>
      <c r="I14" s="5"/>
      <c r="J14" s="5"/>
      <c r="K14" s="5"/>
      <c r="L14" s="5"/>
      <c r="M14" s="5"/>
    </row>
    <row r="15" spans="1:13" ht="15" customHeight="1">
      <c r="A15" s="2" t="s">
        <v>95</v>
      </c>
      <c r="B15" s="2" t="s">
        <v>7</v>
      </c>
      <c r="C15" s="3" t="str">
        <f t="shared" si="0"/>
        <v>Talend_IS1</v>
      </c>
      <c r="D15" s="18" t="s">
        <v>307</v>
      </c>
      <c r="E15" s="2"/>
      <c r="F15" s="9"/>
      <c r="G15" s="6"/>
      <c r="H15" s="5"/>
      <c r="I15" s="5"/>
      <c r="J15" s="5"/>
      <c r="K15" s="5"/>
      <c r="L15" s="5"/>
      <c r="M15" s="5"/>
    </row>
    <row r="16" spans="1:13" ht="15" customHeight="1">
      <c r="A16" s="2" t="s">
        <v>95</v>
      </c>
      <c r="B16" s="2" t="s">
        <v>9</v>
      </c>
      <c r="C16" s="3" t="str">
        <f t="shared" si="0"/>
        <v>Talend_IS2</v>
      </c>
      <c r="D16" s="18" t="s">
        <v>308</v>
      </c>
      <c r="E16" s="2"/>
      <c r="F16" s="9"/>
      <c r="G16" s="6"/>
      <c r="H16" s="5"/>
      <c r="I16" s="5"/>
      <c r="J16" s="5"/>
      <c r="K16" s="5"/>
      <c r="L16" s="5"/>
      <c r="M16" s="5"/>
    </row>
    <row r="17" spans="1:13" ht="15" customHeight="1">
      <c r="A17" s="2" t="s">
        <v>95</v>
      </c>
      <c r="B17" s="2" t="s">
        <v>11</v>
      </c>
      <c r="C17" s="3" t="str">
        <f t="shared" si="0"/>
        <v>Talend_IS3</v>
      </c>
      <c r="D17" s="18" t="s">
        <v>98</v>
      </c>
      <c r="E17" s="2"/>
      <c r="F17" s="9"/>
      <c r="G17" s="6"/>
      <c r="H17" s="5"/>
      <c r="I17" s="5"/>
      <c r="J17" s="5"/>
      <c r="K17" s="5"/>
      <c r="L17" s="5"/>
      <c r="M17" s="5"/>
    </row>
    <row r="18" spans="1:13" ht="15" customHeight="1">
      <c r="A18" s="2" t="s">
        <v>95</v>
      </c>
      <c r="B18" s="2" t="s">
        <v>13</v>
      </c>
      <c r="C18" s="3" t="str">
        <f t="shared" si="0"/>
        <v>Talend_IS4</v>
      </c>
      <c r="D18" s="18" t="s">
        <v>309</v>
      </c>
      <c r="E18" s="2"/>
      <c r="F18" s="9"/>
      <c r="G18" s="6"/>
      <c r="H18" s="5"/>
      <c r="I18" s="5"/>
      <c r="J18" s="5"/>
      <c r="K18" s="5"/>
      <c r="L18" s="5"/>
      <c r="M18" s="5"/>
    </row>
    <row r="19" spans="1:13" ht="15" customHeight="1">
      <c r="A19" s="7"/>
      <c r="B19" s="7"/>
      <c r="C19" s="7" t="str">
        <f t="shared" si="0"/>
        <v>_</v>
      </c>
      <c r="D19" s="20"/>
      <c r="E19" s="8"/>
      <c r="F19" s="9"/>
      <c r="G19" s="6"/>
      <c r="H19" s="5"/>
      <c r="I19" s="5"/>
      <c r="J19" s="5"/>
      <c r="K19" s="5"/>
      <c r="L19" s="5"/>
      <c r="M19" s="5"/>
    </row>
    <row r="20" spans="1:13" ht="15" customHeight="1">
      <c r="A20" s="2" t="s">
        <v>100</v>
      </c>
      <c r="B20" s="2" t="s">
        <v>7</v>
      </c>
      <c r="C20" s="3" t="str">
        <f t="shared" si="0"/>
        <v>EDI_IS1</v>
      </c>
      <c r="D20" s="18"/>
      <c r="E20" s="2"/>
      <c r="F20" s="9"/>
      <c r="G20" s="6"/>
      <c r="H20" s="5"/>
      <c r="I20" s="5"/>
      <c r="J20" s="5"/>
      <c r="K20" s="5"/>
      <c r="L20" s="5"/>
      <c r="M20" s="5"/>
    </row>
    <row r="21" spans="1:13" ht="15" customHeight="1">
      <c r="A21" s="2" t="s">
        <v>100</v>
      </c>
      <c r="B21" s="2" t="s">
        <v>9</v>
      </c>
      <c r="C21" s="3" t="str">
        <f t="shared" si="0"/>
        <v>EDI_IS2</v>
      </c>
      <c r="D21" s="18"/>
      <c r="E21" s="2"/>
      <c r="F21" s="9"/>
      <c r="G21" s="6"/>
      <c r="H21" s="5"/>
      <c r="I21" s="5"/>
      <c r="J21" s="5"/>
      <c r="K21" s="5"/>
      <c r="L21" s="5"/>
      <c r="M21" s="5"/>
    </row>
    <row r="22" spans="1:13" ht="15" customHeight="1">
      <c r="A22" s="2" t="s">
        <v>100</v>
      </c>
      <c r="B22" s="2" t="s">
        <v>11</v>
      </c>
      <c r="C22" s="3" t="str">
        <f t="shared" si="0"/>
        <v>EDI_IS3</v>
      </c>
      <c r="D22" s="18"/>
      <c r="E22" s="2"/>
      <c r="F22" s="9"/>
      <c r="G22" s="6"/>
      <c r="H22" s="5"/>
      <c r="I22" s="5"/>
      <c r="J22" s="5"/>
      <c r="K22" s="5"/>
      <c r="L22" s="5"/>
      <c r="M22" s="5"/>
    </row>
    <row r="23" spans="1:13" ht="15" customHeight="1">
      <c r="A23" s="7"/>
      <c r="B23" s="7"/>
      <c r="C23" s="7" t="str">
        <f t="shared" si="0"/>
        <v>_</v>
      </c>
      <c r="D23" s="20"/>
      <c r="E23" s="8"/>
      <c r="F23" s="9"/>
      <c r="G23" s="6"/>
      <c r="H23" s="5"/>
      <c r="I23" s="5"/>
      <c r="J23" s="5"/>
      <c r="K23" s="5"/>
      <c r="L23" s="5"/>
      <c r="M23" s="5"/>
    </row>
    <row r="24" spans="1:13" ht="15" customHeight="1">
      <c r="A24" s="2" t="s">
        <v>102</v>
      </c>
      <c r="B24" s="2" t="s">
        <v>7</v>
      </c>
      <c r="C24" s="3" t="str">
        <f t="shared" si="0"/>
        <v>Axway_IS1</v>
      </c>
      <c r="D24" s="18"/>
      <c r="E24" s="2"/>
      <c r="F24" s="9"/>
      <c r="G24" s="6"/>
      <c r="H24" s="5"/>
      <c r="I24" s="5"/>
      <c r="J24" s="5"/>
      <c r="K24" s="5"/>
      <c r="L24" s="5"/>
      <c r="M24" s="5"/>
    </row>
    <row r="25" spans="1:13" ht="15" customHeight="1">
      <c r="A25" s="2" t="s">
        <v>102</v>
      </c>
      <c r="B25" s="2" t="s">
        <v>9</v>
      </c>
      <c r="C25" s="3" t="str">
        <f t="shared" si="0"/>
        <v>Axway_IS2</v>
      </c>
      <c r="D25" s="18"/>
      <c r="E25" s="2"/>
      <c r="F25" s="9"/>
      <c r="G25" s="6"/>
      <c r="H25" s="5"/>
      <c r="I25" s="5"/>
      <c r="J25" s="5"/>
      <c r="K25" s="5"/>
      <c r="L25" s="5"/>
      <c r="M25" s="5"/>
    </row>
    <row r="26" spans="1:13" ht="15" customHeight="1">
      <c r="A26" s="2" t="s">
        <v>102</v>
      </c>
      <c r="B26" s="2" t="s">
        <v>11</v>
      </c>
      <c r="C26" s="3" t="str">
        <f t="shared" ref="C26" si="2">_xlfn.CONCAT(A26,"_",B26)</f>
        <v>Axway_IS3</v>
      </c>
      <c r="D26" s="18"/>
      <c r="E26" s="2"/>
      <c r="F26" s="9"/>
      <c r="G26" s="6"/>
      <c r="H26" s="5"/>
      <c r="I26" s="5"/>
      <c r="J26" s="5"/>
      <c r="K26" s="5"/>
      <c r="L26" s="5"/>
      <c r="M26" s="5"/>
    </row>
    <row r="27" spans="1:13" ht="15" customHeight="1">
      <c r="A27" s="2" t="s">
        <v>102</v>
      </c>
      <c r="B27" s="2" t="s">
        <v>13</v>
      </c>
      <c r="C27" s="3" t="str">
        <f>_xlfn.CONCAT(A27,"_",B27)</f>
        <v>Axway_IS4</v>
      </c>
      <c r="D27" s="18"/>
      <c r="E27" s="2"/>
      <c r="F27" s="9"/>
      <c r="G27" s="6"/>
      <c r="H27" s="5"/>
      <c r="I27" s="5"/>
      <c r="J27" s="5"/>
      <c r="K27" s="5"/>
      <c r="L27" s="5"/>
      <c r="M27" s="5"/>
    </row>
    <row r="28" spans="1:13" ht="15" customHeight="1">
      <c r="A28" s="7"/>
      <c r="B28" s="7"/>
      <c r="C28" s="7" t="str">
        <f>_xlfn.CONCAT(A28,"_",B28)</f>
        <v>_</v>
      </c>
      <c r="D28" s="21"/>
      <c r="E28" s="7"/>
      <c r="F28" s="9"/>
      <c r="G28" s="6"/>
      <c r="H28" s="5"/>
      <c r="I28" s="5"/>
      <c r="J28" s="5"/>
      <c r="K28" s="5"/>
      <c r="L28" s="5"/>
      <c r="M28" s="5"/>
    </row>
    <row r="29" spans="1:13" ht="15" customHeight="1">
      <c r="A29" s="2" t="s">
        <v>107</v>
      </c>
      <c r="B29" s="2" t="s">
        <v>9</v>
      </c>
      <c r="C29" s="3" t="str">
        <f>_xlfn.CONCAT(A29,"_",B29)</f>
        <v>ADO_IS2</v>
      </c>
      <c r="D29" s="18"/>
      <c r="E29" s="2"/>
      <c r="F29" s="9"/>
      <c r="G29" s="6"/>
      <c r="H29" s="5"/>
      <c r="I29" s="5"/>
      <c r="J29" s="5"/>
      <c r="K29" s="5"/>
      <c r="L29" s="5"/>
      <c r="M29" s="5"/>
    </row>
    <row r="30" spans="1:13" ht="15" customHeight="1">
      <c r="A30" s="7"/>
      <c r="B30" s="7"/>
      <c r="C30" s="7" t="str">
        <f>_xlfn.CONCAT(A30,"_",B30)</f>
        <v>_</v>
      </c>
      <c r="D30" s="21"/>
      <c r="E30" s="7"/>
      <c r="F30" s="9"/>
      <c r="G30" s="6"/>
      <c r="H30" s="5"/>
      <c r="I30" s="5"/>
      <c r="J30" s="5"/>
      <c r="K30" s="5"/>
      <c r="L30" s="5"/>
      <c r="M30" s="5"/>
    </row>
  </sheetData>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631239EC-432A-4368-9872-3C412C786B86}">
          <x14:formula1>
            <xm:f>Metadata!$E$2:$E$34</xm:f>
          </x14:formula1>
          <xm:sqref>A29 A2:A7 A24:A27 A20:A22 A15:A18 A9:A13</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66CB3C-0E6C-704E-871C-2E5638A11063}">
  <dimension ref="A1:M30"/>
  <sheetViews>
    <sheetView zoomScale="85" zoomScaleNormal="85" workbookViewId="0">
      <pane xSplit="2" ySplit="1" topLeftCell="C9" activePane="bottomRight" state="frozen"/>
      <selection pane="bottomRight" activeCell="C2" sqref="C2"/>
      <selection pane="bottomLeft" activeCell="C2" sqref="C2"/>
      <selection pane="topRight" activeCell="C2" sqref="C2"/>
    </sheetView>
  </sheetViews>
  <sheetFormatPr defaultColWidth="8.42578125" defaultRowHeight="14.45"/>
  <cols>
    <col min="1" max="1" width="42.85546875" style="1" bestFit="1" customWidth="1"/>
    <col min="2" max="2" width="5.85546875" style="1" bestFit="1" customWidth="1"/>
    <col min="3" max="3" width="25" style="1" customWidth="1"/>
    <col min="4" max="4" width="78.140625" style="24" customWidth="1"/>
    <col min="5" max="5" width="20.42578125" style="1" customWidth="1"/>
    <col min="6" max="6" width="12.42578125" style="1" customWidth="1"/>
    <col min="7" max="7" width="8.42578125" style="1" bestFit="1" customWidth="1"/>
    <col min="8" max="9" width="6.42578125" style="1" bestFit="1" customWidth="1"/>
    <col min="10" max="10" width="7.42578125" style="1" bestFit="1" customWidth="1"/>
    <col min="11" max="12" width="8.42578125" style="1" bestFit="1" customWidth="1"/>
    <col min="13" max="13" width="6.42578125" style="1" bestFit="1" customWidth="1"/>
    <col min="14" max="16384" width="8.42578125" style="1"/>
  </cols>
  <sheetData>
    <row r="1" spans="1:13" customFormat="1">
      <c r="A1" s="25" t="s">
        <v>275</v>
      </c>
      <c r="B1" s="25" t="s">
        <v>1</v>
      </c>
      <c r="C1" s="25" t="s">
        <v>3</v>
      </c>
      <c r="D1" s="26" t="s">
        <v>4</v>
      </c>
      <c r="E1" s="25" t="s">
        <v>5</v>
      </c>
    </row>
    <row r="2" spans="1:13" ht="15" customHeight="1">
      <c r="A2" s="2" t="s">
        <v>310</v>
      </c>
      <c r="B2" s="2" t="s">
        <v>13</v>
      </c>
      <c r="C2" s="3" t="str">
        <f t="shared" ref="C2:C22" si="0">_xlfn.CONCAT(A2,"_",B2)</f>
        <v>Scrum Master_IS4</v>
      </c>
      <c r="D2" s="16" t="s">
        <v>311</v>
      </c>
      <c r="E2" s="4"/>
      <c r="F2" s="5"/>
      <c r="G2" s="6"/>
      <c r="H2" s="5"/>
      <c r="I2" s="5"/>
      <c r="J2" s="5"/>
      <c r="K2" s="5"/>
      <c r="L2" s="5"/>
      <c r="M2" s="5"/>
    </row>
    <row r="3" spans="1:13" ht="15" customHeight="1">
      <c r="A3" s="7"/>
      <c r="B3" s="7"/>
      <c r="C3" s="7" t="str">
        <f t="shared" ref="C3" si="1">_xlfn.CONCAT(A3,"_",B3)</f>
        <v>_</v>
      </c>
      <c r="D3" s="20"/>
      <c r="E3" s="8"/>
      <c r="F3" s="5"/>
      <c r="G3" s="6"/>
      <c r="H3" s="5"/>
      <c r="I3" s="5"/>
      <c r="J3" s="5"/>
      <c r="K3" s="5"/>
      <c r="L3" s="5"/>
      <c r="M3" s="5"/>
    </row>
    <row r="4" spans="1:13" ht="15" customHeight="1">
      <c r="A4" s="2" t="s">
        <v>113</v>
      </c>
      <c r="B4" s="2" t="s">
        <v>13</v>
      </c>
      <c r="C4" s="3" t="str">
        <f t="shared" si="0"/>
        <v>Business Analyst_IS4</v>
      </c>
      <c r="D4" s="16" t="s">
        <v>312</v>
      </c>
      <c r="E4" s="4"/>
      <c r="F4" s="5"/>
      <c r="G4" s="6"/>
      <c r="H4" s="5"/>
      <c r="I4" s="5"/>
      <c r="J4" s="5"/>
      <c r="K4" s="5"/>
      <c r="L4" s="5"/>
      <c r="M4" s="5"/>
    </row>
    <row r="5" spans="1:13" ht="15" customHeight="1">
      <c r="A5" s="2" t="s">
        <v>113</v>
      </c>
      <c r="B5" s="2" t="s">
        <v>13</v>
      </c>
      <c r="C5" s="3" t="str">
        <f t="shared" si="0"/>
        <v>Business Analyst_IS4</v>
      </c>
      <c r="D5" s="16" t="s">
        <v>313</v>
      </c>
      <c r="E5" s="4"/>
      <c r="F5" s="5"/>
      <c r="G5" s="6"/>
      <c r="H5" s="5"/>
      <c r="I5" s="5"/>
      <c r="J5" s="5"/>
      <c r="K5" s="5"/>
      <c r="L5" s="5"/>
      <c r="M5" s="5"/>
    </row>
    <row r="6" spans="1:13" ht="15" customHeight="1">
      <c r="A6" s="7"/>
      <c r="B6" s="7"/>
      <c r="C6" s="7" t="str">
        <f t="shared" si="0"/>
        <v>_</v>
      </c>
      <c r="D6" s="20"/>
      <c r="E6" s="8"/>
      <c r="F6" s="5"/>
      <c r="G6" s="6"/>
      <c r="H6" s="5"/>
      <c r="I6" s="5"/>
      <c r="J6" s="5"/>
      <c r="K6" s="5"/>
      <c r="L6" s="5"/>
      <c r="M6" s="5"/>
    </row>
    <row r="7" spans="1:13" ht="15" customHeight="1">
      <c r="A7" s="2" t="s">
        <v>116</v>
      </c>
      <c r="B7" s="2" t="s">
        <v>18</v>
      </c>
      <c r="C7" s="3" t="str">
        <f t="shared" si="0"/>
        <v>Service Delivery Manager_IS5</v>
      </c>
      <c r="D7" s="18"/>
      <c r="E7" s="2"/>
      <c r="F7" s="9"/>
      <c r="G7" s="6"/>
      <c r="H7" s="5"/>
      <c r="I7" s="5"/>
      <c r="J7" s="5"/>
      <c r="K7" s="5"/>
      <c r="L7" s="5"/>
      <c r="M7" s="5"/>
    </row>
    <row r="8" spans="1:13" ht="15" customHeight="1">
      <c r="A8" s="2" t="s">
        <v>314</v>
      </c>
      <c r="B8" s="2" t="s">
        <v>13</v>
      </c>
      <c r="C8" s="3" t="str">
        <f t="shared" si="0"/>
        <v>Service Managers_IS4</v>
      </c>
      <c r="D8" s="18"/>
      <c r="E8" s="2"/>
      <c r="F8" s="9"/>
      <c r="G8" s="6"/>
      <c r="H8" s="5"/>
      <c r="I8" s="5"/>
      <c r="J8" s="5"/>
      <c r="K8" s="5"/>
      <c r="L8" s="5"/>
      <c r="M8" s="5"/>
    </row>
    <row r="9" spans="1:13" ht="15" customHeight="1">
      <c r="A9" s="7"/>
      <c r="B9" s="7"/>
      <c r="C9" s="7" t="str">
        <f t="shared" si="0"/>
        <v>_</v>
      </c>
      <c r="D9" s="20"/>
      <c r="E9" s="8"/>
      <c r="F9" s="9"/>
      <c r="G9" s="6"/>
      <c r="H9" s="5"/>
      <c r="I9" s="5"/>
      <c r="J9" s="5"/>
      <c r="K9" s="5"/>
      <c r="L9" s="5"/>
      <c r="M9" s="5"/>
    </row>
    <row r="10" spans="1:13" ht="15" customHeight="1">
      <c r="A10" s="2" t="s">
        <v>120</v>
      </c>
      <c r="B10" s="2" t="s">
        <v>7</v>
      </c>
      <c r="C10" s="3" t="str">
        <f t="shared" si="0"/>
        <v>SF CRM_IS1</v>
      </c>
      <c r="D10" s="18"/>
      <c r="E10" s="2"/>
      <c r="F10" s="9"/>
      <c r="G10" s="6"/>
      <c r="H10" s="5"/>
      <c r="I10" s="5"/>
      <c r="J10" s="5"/>
      <c r="K10" s="5"/>
      <c r="L10" s="5"/>
      <c r="M10" s="5"/>
    </row>
    <row r="11" spans="1:13" ht="15" customHeight="1">
      <c r="A11" s="2" t="s">
        <v>120</v>
      </c>
      <c r="B11" s="2" t="s">
        <v>9</v>
      </c>
      <c r="C11" s="3" t="str">
        <f t="shared" si="0"/>
        <v>SF CRM_IS2</v>
      </c>
      <c r="D11" s="18"/>
      <c r="E11" s="2"/>
      <c r="F11" s="9"/>
      <c r="G11" s="6"/>
      <c r="H11" s="5"/>
      <c r="I11" s="5"/>
      <c r="J11" s="5"/>
      <c r="K11" s="5"/>
      <c r="L11" s="5"/>
      <c r="M11" s="5"/>
    </row>
    <row r="12" spans="1:13" ht="15" customHeight="1">
      <c r="A12" s="2" t="s">
        <v>120</v>
      </c>
      <c r="B12" s="2" t="s">
        <v>11</v>
      </c>
      <c r="C12" s="3" t="str">
        <f t="shared" si="0"/>
        <v>SF CRM_IS3</v>
      </c>
      <c r="D12" s="18" t="s">
        <v>315</v>
      </c>
      <c r="E12" s="2"/>
      <c r="F12" s="9"/>
      <c r="G12" s="6"/>
      <c r="H12" s="5"/>
      <c r="I12" s="5"/>
      <c r="J12" s="5"/>
      <c r="K12" s="5"/>
      <c r="L12" s="5"/>
      <c r="M12" s="5"/>
    </row>
    <row r="13" spans="1:13" ht="15" customHeight="1">
      <c r="A13" s="2" t="s">
        <v>120</v>
      </c>
      <c r="B13" s="2" t="s">
        <v>13</v>
      </c>
      <c r="C13" s="3" t="str">
        <f t="shared" ref="C13" si="2">_xlfn.CONCAT(A13,"_",B13)</f>
        <v>SF CRM_IS4</v>
      </c>
      <c r="D13" s="18" t="s">
        <v>316</v>
      </c>
      <c r="E13" s="2"/>
      <c r="F13" s="9"/>
      <c r="G13" s="6"/>
      <c r="H13" s="5"/>
      <c r="I13" s="5"/>
      <c r="J13" s="5"/>
      <c r="K13" s="5"/>
      <c r="L13" s="5"/>
      <c r="M13" s="5"/>
    </row>
    <row r="14" spans="1:13" ht="15" customHeight="1">
      <c r="A14" s="7"/>
      <c r="B14" s="7"/>
      <c r="C14" s="7" t="str">
        <f t="shared" si="0"/>
        <v>_</v>
      </c>
      <c r="D14" s="20"/>
      <c r="E14" s="8"/>
      <c r="F14" s="9"/>
      <c r="G14" s="6"/>
      <c r="H14" s="5"/>
      <c r="I14" s="5"/>
      <c r="J14" s="5"/>
      <c r="K14" s="5"/>
      <c r="L14" s="5"/>
      <c r="M14" s="5"/>
    </row>
    <row r="15" spans="1:13" ht="15" customHeight="1">
      <c r="A15" s="2" t="s">
        <v>124</v>
      </c>
      <c r="B15" s="2" t="s">
        <v>7</v>
      </c>
      <c r="C15" s="3" t="str">
        <f t="shared" si="0"/>
        <v>SF SVC_IS1</v>
      </c>
      <c r="D15" s="18"/>
      <c r="E15" s="2"/>
      <c r="F15" s="9"/>
      <c r="G15" s="6"/>
      <c r="H15" s="5"/>
      <c r="I15" s="5"/>
      <c r="J15" s="5"/>
      <c r="K15" s="5"/>
      <c r="L15" s="5"/>
      <c r="M15" s="5"/>
    </row>
    <row r="16" spans="1:13" ht="15" customHeight="1">
      <c r="A16" s="2" t="s">
        <v>124</v>
      </c>
      <c r="B16" s="2" t="s">
        <v>9</v>
      </c>
      <c r="C16" s="3" t="str">
        <f t="shared" si="0"/>
        <v>SF SVC_IS2</v>
      </c>
      <c r="D16" s="18"/>
      <c r="E16" s="2"/>
      <c r="F16" s="9"/>
      <c r="G16" s="6"/>
      <c r="H16" s="5"/>
      <c r="I16" s="5"/>
      <c r="J16" s="5"/>
      <c r="K16" s="5"/>
      <c r="L16" s="5"/>
      <c r="M16" s="5"/>
    </row>
    <row r="17" spans="1:13" ht="15" customHeight="1">
      <c r="A17" s="2" t="s">
        <v>124</v>
      </c>
      <c r="B17" s="2" t="s">
        <v>11</v>
      </c>
      <c r="C17" s="3" t="str">
        <f t="shared" si="0"/>
        <v>SF SVC_IS3</v>
      </c>
      <c r="D17" s="18" t="s">
        <v>317</v>
      </c>
      <c r="E17" s="2"/>
      <c r="F17" s="9"/>
      <c r="G17" s="6"/>
      <c r="H17" s="5"/>
      <c r="I17" s="5"/>
      <c r="J17" s="5"/>
      <c r="K17" s="5"/>
      <c r="L17" s="5"/>
      <c r="M17" s="5"/>
    </row>
    <row r="18" spans="1:13" ht="15" customHeight="1">
      <c r="A18" s="2" t="s">
        <v>124</v>
      </c>
      <c r="B18" s="2" t="s">
        <v>13</v>
      </c>
      <c r="C18" s="3" t="str">
        <f t="shared" si="0"/>
        <v>SF SVC_IS4</v>
      </c>
      <c r="D18" s="18" t="s">
        <v>318</v>
      </c>
      <c r="E18" s="2"/>
      <c r="F18" s="9"/>
      <c r="G18" s="6"/>
      <c r="H18" s="5"/>
      <c r="I18" s="5"/>
      <c r="J18" s="5"/>
      <c r="K18" s="5"/>
      <c r="L18" s="5"/>
      <c r="M18" s="5"/>
    </row>
    <row r="19" spans="1:13" ht="15" customHeight="1">
      <c r="A19" s="7"/>
      <c r="B19" s="7"/>
      <c r="C19" s="7" t="str">
        <f t="shared" si="0"/>
        <v>_</v>
      </c>
      <c r="D19" s="20"/>
      <c r="E19" s="8"/>
      <c r="F19" s="9"/>
      <c r="G19" s="6"/>
      <c r="H19" s="5"/>
      <c r="I19" s="5"/>
      <c r="J19" s="5"/>
      <c r="K19" s="5"/>
      <c r="L19" s="5"/>
      <c r="M19" s="5"/>
    </row>
    <row r="20" spans="1:13" ht="15" customHeight="1">
      <c r="A20" s="2" t="s">
        <v>128</v>
      </c>
      <c r="B20" s="2" t="s">
        <v>7</v>
      </c>
      <c r="C20" s="3" t="str">
        <f t="shared" si="0"/>
        <v>SF MKT_IS1</v>
      </c>
      <c r="D20" s="18" t="s">
        <v>319</v>
      </c>
      <c r="E20" s="2"/>
      <c r="F20" s="9"/>
      <c r="G20" s="6"/>
      <c r="H20" s="5"/>
      <c r="I20" s="5"/>
      <c r="J20" s="5"/>
      <c r="K20" s="5"/>
      <c r="L20" s="5"/>
      <c r="M20" s="5"/>
    </row>
    <row r="21" spans="1:13" ht="15" customHeight="1">
      <c r="A21" s="2" t="s">
        <v>128</v>
      </c>
      <c r="B21" s="2" t="s">
        <v>9</v>
      </c>
      <c r="C21" s="3" t="str">
        <f t="shared" si="0"/>
        <v>SF MKT_IS2</v>
      </c>
      <c r="D21" s="18"/>
      <c r="E21" s="2"/>
      <c r="F21" s="9"/>
      <c r="G21" s="6"/>
      <c r="H21" s="5"/>
      <c r="I21" s="5"/>
      <c r="J21" s="5"/>
      <c r="K21" s="5"/>
      <c r="L21" s="5"/>
      <c r="M21" s="5"/>
    </row>
    <row r="22" spans="1:13" ht="15" customHeight="1">
      <c r="A22" s="2" t="s">
        <v>128</v>
      </c>
      <c r="B22" s="2" t="s">
        <v>11</v>
      </c>
      <c r="C22" s="3" t="str">
        <f t="shared" si="0"/>
        <v>SF MKT_IS3</v>
      </c>
      <c r="D22" s="18" t="s">
        <v>319</v>
      </c>
      <c r="E22" s="2"/>
      <c r="F22" s="9"/>
      <c r="G22" s="6"/>
      <c r="H22" s="5"/>
      <c r="I22" s="5"/>
      <c r="J22" s="5"/>
      <c r="K22" s="5"/>
      <c r="L22" s="5"/>
      <c r="M22" s="5"/>
    </row>
    <row r="23" spans="1:13" ht="15" customHeight="1">
      <c r="A23" s="2" t="s">
        <v>128</v>
      </c>
      <c r="B23" s="2" t="s">
        <v>13</v>
      </c>
      <c r="C23" s="3" t="str">
        <f t="shared" ref="C23" si="3">_xlfn.CONCAT(A23,"_",B23)</f>
        <v>SF MKT_IS4</v>
      </c>
      <c r="D23" s="18" t="s">
        <v>318</v>
      </c>
      <c r="E23" s="2"/>
      <c r="F23" s="9"/>
      <c r="G23" s="6"/>
      <c r="H23" s="5"/>
      <c r="I23" s="5"/>
      <c r="J23" s="5"/>
      <c r="K23" s="5"/>
      <c r="L23" s="5"/>
      <c r="M23" s="5"/>
    </row>
    <row r="24" spans="1:13" ht="15" customHeight="1">
      <c r="A24" s="7"/>
      <c r="B24" s="7"/>
      <c r="C24" s="7" t="str">
        <f>_xlfn.CONCAT(A24,"_",B24)</f>
        <v>_</v>
      </c>
      <c r="D24" s="21"/>
      <c r="E24" s="7"/>
      <c r="F24" s="9"/>
      <c r="G24" s="6"/>
      <c r="H24" s="5"/>
      <c r="I24" s="5"/>
      <c r="J24" s="5"/>
      <c r="K24" s="5"/>
      <c r="L24" s="5"/>
      <c r="M24" s="5"/>
    </row>
    <row r="25" spans="1:13" ht="15" customHeight="1">
      <c r="A25" s="2" t="s">
        <v>89</v>
      </c>
      <c r="B25" s="2" t="s">
        <v>7</v>
      </c>
      <c r="C25" s="3" t="str">
        <f t="shared" ref="C25:C27" si="4">_xlfn.CONCAT(A25,"_",B25)</f>
        <v>Mulesoft_IS1</v>
      </c>
      <c r="D25" s="18" t="s">
        <v>90</v>
      </c>
      <c r="E25" s="2"/>
      <c r="F25" s="9"/>
      <c r="G25" s="6"/>
      <c r="H25" s="5"/>
      <c r="I25" s="5"/>
      <c r="J25" s="5"/>
      <c r="K25" s="5"/>
      <c r="L25" s="5"/>
      <c r="M25" s="5"/>
    </row>
    <row r="26" spans="1:13" ht="15" customHeight="1">
      <c r="A26" s="2" t="s">
        <v>89</v>
      </c>
      <c r="B26" s="2" t="s">
        <v>9</v>
      </c>
      <c r="C26" s="3" t="str">
        <f t="shared" si="4"/>
        <v>Mulesoft_IS2</v>
      </c>
      <c r="D26" s="18" t="s">
        <v>304</v>
      </c>
      <c r="E26" s="2"/>
      <c r="F26" s="9"/>
      <c r="G26" s="6"/>
      <c r="H26" s="5"/>
      <c r="I26" s="5"/>
      <c r="J26" s="5"/>
      <c r="K26" s="5"/>
      <c r="L26" s="5"/>
      <c r="M26" s="5"/>
    </row>
    <row r="27" spans="1:13" ht="15" customHeight="1">
      <c r="A27" s="2" t="s">
        <v>89</v>
      </c>
      <c r="B27" s="2" t="s">
        <v>11</v>
      </c>
      <c r="C27" s="3" t="str">
        <f t="shared" si="4"/>
        <v>Mulesoft_IS3</v>
      </c>
      <c r="D27" s="18" t="s">
        <v>92</v>
      </c>
      <c r="E27" s="2"/>
      <c r="F27" s="9"/>
      <c r="G27" s="6"/>
      <c r="H27" s="5"/>
      <c r="I27" s="5"/>
      <c r="J27" s="5"/>
      <c r="K27" s="5"/>
      <c r="L27" s="5"/>
      <c r="M27" s="5"/>
    </row>
    <row r="28" spans="1:13" ht="15" customHeight="1">
      <c r="A28" s="7"/>
      <c r="B28" s="7"/>
      <c r="C28" s="7" t="str">
        <f>_xlfn.CONCAT(A28,"_",B28)</f>
        <v>_</v>
      </c>
      <c r="D28" s="21"/>
      <c r="E28" s="7"/>
      <c r="F28" s="9"/>
      <c r="G28" s="6"/>
      <c r="H28" s="5"/>
      <c r="I28" s="5"/>
      <c r="J28" s="5"/>
      <c r="K28" s="5"/>
      <c r="L28" s="5"/>
      <c r="M28" s="5"/>
    </row>
    <row r="29" spans="1:13" ht="15" customHeight="1">
      <c r="A29" s="2" t="s">
        <v>131</v>
      </c>
      <c r="B29" s="2" t="s">
        <v>9</v>
      </c>
      <c r="C29" s="3" t="str">
        <f>_xlfn.CONCAT(A29,"_",B29)</f>
        <v>DevOps Engineer_IS2</v>
      </c>
      <c r="D29" s="18" t="s">
        <v>320</v>
      </c>
      <c r="E29" s="2"/>
      <c r="F29" s="9"/>
      <c r="G29" s="6"/>
      <c r="H29" s="5"/>
      <c r="I29" s="5"/>
      <c r="J29" s="5"/>
      <c r="K29" s="5"/>
      <c r="L29" s="5"/>
      <c r="M29" s="5"/>
    </row>
    <row r="30" spans="1:13" ht="15" customHeight="1">
      <c r="A30" s="7"/>
      <c r="B30" s="7"/>
      <c r="C30" s="7" t="str">
        <f>_xlfn.CONCAT(A30,"_",B30)</f>
        <v>_</v>
      </c>
      <c r="D30" s="21"/>
      <c r="E30" s="7"/>
      <c r="F30" s="9"/>
      <c r="G30" s="6"/>
      <c r="H30" s="5"/>
      <c r="I30" s="5"/>
      <c r="J30" s="5"/>
      <c r="K30" s="5"/>
      <c r="L30" s="5"/>
      <c r="M30" s="5"/>
    </row>
  </sheetData>
  <pageMargins left="0.7" right="0.7" top="0.75" bottom="0.75" header="0.3" footer="0.3"/>
  <pageSetup orientation="portrait" r:id="rId1"/>
  <extLst>
    <ext xmlns:x14="http://schemas.microsoft.com/office/spreadsheetml/2009/9/main" uri="{CCE6A557-97BC-4b89-ADB6-D9C93CAAB3DF}">
      <x14:dataValidations xmlns:xm="http://schemas.microsoft.com/office/excel/2006/main" count="1">
        <x14:dataValidation type="list" allowBlank="1" showInputMessage="1" showErrorMessage="1" xr:uid="{98486FB6-CE01-414A-B4EA-F51413FA9771}">
          <x14:formula1>
            <xm:f>Metadata!$E$2:$E$44</xm:f>
          </x14:formula1>
          <xm:sqref>A1:A2 A31:A1048576 A7:A8 A10:A13 A15:A18 A20:A23 A25:A27 A29 A4:A5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F4B1D-9F13-4DD9-B0BB-74BC2800FCAA}">
  <dimension ref="A1:E16"/>
  <sheetViews>
    <sheetView topLeftCell="B1" workbookViewId="0">
      <selection activeCell="D1" sqref="D1"/>
    </sheetView>
  </sheetViews>
  <sheetFormatPr defaultColWidth="8.85546875" defaultRowHeight="14.45"/>
  <cols>
    <col min="1" max="1" width="16.85546875" customWidth="1"/>
    <col min="2" max="2" width="15.140625" customWidth="1"/>
    <col min="3" max="3" width="35" customWidth="1"/>
    <col min="4" max="4" width="20.140625" customWidth="1"/>
    <col min="5" max="5" width="81.7109375" customWidth="1"/>
  </cols>
  <sheetData>
    <row r="1" spans="1:5" ht="15.95" thickBot="1">
      <c r="A1" s="31" t="s">
        <v>321</v>
      </c>
      <c r="B1" s="31" t="s">
        <v>1</v>
      </c>
      <c r="C1" s="31" t="s">
        <v>322</v>
      </c>
      <c r="D1" s="32" t="s">
        <v>2</v>
      </c>
      <c r="E1" s="33" t="s">
        <v>4</v>
      </c>
    </row>
    <row r="2" spans="1:5" s="37" customFormat="1" ht="18.75" customHeight="1">
      <c r="A2" s="34" t="s">
        <v>323</v>
      </c>
      <c r="B2" s="34" t="s">
        <v>13</v>
      </c>
      <c r="C2" s="34" t="s">
        <v>324</v>
      </c>
      <c r="D2" s="35" t="s">
        <v>325</v>
      </c>
      <c r="E2" s="36" t="s">
        <v>326</v>
      </c>
    </row>
    <row r="3" spans="1:5" s="37" customFormat="1" ht="18.75" customHeight="1" thickBot="1">
      <c r="A3" s="34" t="s">
        <v>323</v>
      </c>
      <c r="B3" s="34" t="s">
        <v>11</v>
      </c>
      <c r="C3" s="34" t="s">
        <v>324</v>
      </c>
      <c r="D3" s="35" t="s">
        <v>327</v>
      </c>
      <c r="E3" s="38" t="s">
        <v>328</v>
      </c>
    </row>
    <row r="4" spans="1:5" s="37" customFormat="1" ht="18.75" customHeight="1" thickBot="1">
      <c r="A4" s="34" t="s">
        <v>329</v>
      </c>
      <c r="B4" s="34" t="s">
        <v>7</v>
      </c>
      <c r="C4" s="34" t="s">
        <v>330</v>
      </c>
      <c r="D4" s="39" t="s">
        <v>331</v>
      </c>
      <c r="E4" s="40" t="s">
        <v>332</v>
      </c>
    </row>
    <row r="5" spans="1:5" s="37" customFormat="1" ht="18.75" customHeight="1" thickBot="1">
      <c r="A5" s="34" t="s">
        <v>329</v>
      </c>
      <c r="B5" s="34" t="s">
        <v>9</v>
      </c>
      <c r="C5" s="34" t="s">
        <v>330</v>
      </c>
      <c r="D5" s="39" t="s">
        <v>333</v>
      </c>
      <c r="E5" s="41" t="s">
        <v>334</v>
      </c>
    </row>
    <row r="6" spans="1:5" s="37" customFormat="1" ht="18.75" customHeight="1" thickBot="1">
      <c r="A6" s="34" t="s">
        <v>329</v>
      </c>
      <c r="B6" s="34" t="s">
        <v>11</v>
      </c>
      <c r="C6" s="34" t="s">
        <v>335</v>
      </c>
      <c r="D6" s="35" t="s">
        <v>327</v>
      </c>
      <c r="E6" s="38" t="s">
        <v>336</v>
      </c>
    </row>
    <row r="7" spans="1:5" s="37" customFormat="1" ht="18.75" customHeight="1" thickBot="1">
      <c r="A7" s="34" t="s">
        <v>337</v>
      </c>
      <c r="B7" s="34" t="s">
        <v>7</v>
      </c>
      <c r="C7" s="34" t="s">
        <v>338</v>
      </c>
      <c r="D7" s="39" t="s">
        <v>331</v>
      </c>
      <c r="E7" s="41" t="s">
        <v>339</v>
      </c>
    </row>
    <row r="8" spans="1:5" s="37" customFormat="1" ht="18.75" customHeight="1" thickBot="1">
      <c r="A8" s="34" t="s">
        <v>337</v>
      </c>
      <c r="B8" s="34" t="s">
        <v>11</v>
      </c>
      <c r="C8" s="34" t="s">
        <v>340</v>
      </c>
      <c r="D8" s="39" t="s">
        <v>327</v>
      </c>
      <c r="E8" s="41" t="s">
        <v>341</v>
      </c>
    </row>
    <row r="9" spans="1:5" s="37" customFormat="1" ht="18.75" customHeight="1" thickBot="1">
      <c r="A9" s="34" t="s">
        <v>329</v>
      </c>
      <c r="B9" s="34" t="s">
        <v>9</v>
      </c>
      <c r="C9" s="34" t="s">
        <v>342</v>
      </c>
      <c r="D9" s="39" t="s">
        <v>333</v>
      </c>
      <c r="E9" s="41" t="s">
        <v>343</v>
      </c>
    </row>
    <row r="10" spans="1:5" s="37" customFormat="1" ht="18.75" customHeight="1" thickBot="1">
      <c r="A10" s="34" t="s">
        <v>329</v>
      </c>
      <c r="B10" s="34" t="s">
        <v>9</v>
      </c>
      <c r="C10" s="34" t="s">
        <v>344</v>
      </c>
      <c r="D10" s="39" t="s">
        <v>333</v>
      </c>
      <c r="E10" s="41" t="s">
        <v>345</v>
      </c>
    </row>
    <row r="11" spans="1:5" s="37" customFormat="1" ht="18.75" customHeight="1" thickBot="1">
      <c r="A11" s="42" t="s">
        <v>346</v>
      </c>
      <c r="B11" s="42" t="s">
        <v>9</v>
      </c>
      <c r="C11" s="42" t="s">
        <v>347</v>
      </c>
      <c r="D11" s="43" t="s">
        <v>333</v>
      </c>
      <c r="E11" s="41" t="s">
        <v>348</v>
      </c>
    </row>
    <row r="12" spans="1:5" s="37" customFormat="1" ht="18.75" customHeight="1" thickBot="1">
      <c r="A12" s="34" t="s">
        <v>346</v>
      </c>
      <c r="B12" s="34" t="s">
        <v>11</v>
      </c>
      <c r="C12" s="34" t="s">
        <v>347</v>
      </c>
      <c r="D12" s="39" t="s">
        <v>327</v>
      </c>
      <c r="E12" s="41" t="s">
        <v>349</v>
      </c>
    </row>
    <row r="13" spans="1:5" s="37" customFormat="1">
      <c r="D13" s="44"/>
      <c r="E13" s="45"/>
    </row>
    <row r="14" spans="1:5" s="37" customFormat="1">
      <c r="D14" s="44"/>
      <c r="E14" s="45"/>
    </row>
    <row r="15" spans="1:5" s="37" customFormat="1">
      <c r="D15" s="67"/>
      <c r="E15" s="45"/>
    </row>
    <row r="16" spans="1:5" s="37" customFormat="1">
      <c r="D16" s="67"/>
      <c r="E16" s="45"/>
    </row>
  </sheetData>
  <mergeCells count="1">
    <mergeCell ref="D15:D1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F8B592-65CE-45F8-865B-9B502313EFF5}">
  <dimension ref="E1:H56"/>
  <sheetViews>
    <sheetView workbookViewId="0">
      <selection activeCell="E2" sqref="E2"/>
    </sheetView>
  </sheetViews>
  <sheetFormatPr defaultColWidth="8.85546875" defaultRowHeight="14.45"/>
  <cols>
    <col min="5" max="5" width="50" bestFit="1" customWidth="1"/>
    <col min="8" max="8" width="9.7109375" bestFit="1" customWidth="1"/>
    <col min="9" max="9" width="12.140625" customWidth="1"/>
  </cols>
  <sheetData>
    <row r="1" spans="5:8">
      <c r="E1" t="s">
        <v>275</v>
      </c>
      <c r="G1" s="28" t="s">
        <v>350</v>
      </c>
      <c r="H1" s="28" t="s">
        <v>2</v>
      </c>
    </row>
    <row r="2" spans="5:8">
      <c r="E2" t="s">
        <v>38</v>
      </c>
      <c r="G2" s="29" t="s">
        <v>7</v>
      </c>
      <c r="H2" s="30" t="s">
        <v>331</v>
      </c>
    </row>
    <row r="3" spans="5:8">
      <c r="E3" t="s">
        <v>107</v>
      </c>
      <c r="G3" s="29" t="s">
        <v>9</v>
      </c>
      <c r="H3" s="30" t="s">
        <v>333</v>
      </c>
    </row>
    <row r="4" spans="5:8">
      <c r="E4" t="s">
        <v>62</v>
      </c>
      <c r="G4" s="29" t="s">
        <v>11</v>
      </c>
      <c r="H4" s="30" t="s">
        <v>327</v>
      </c>
    </row>
    <row r="5" spans="5:8">
      <c r="E5" t="s">
        <v>102</v>
      </c>
      <c r="G5" s="29" t="s">
        <v>13</v>
      </c>
      <c r="H5" s="30" t="s">
        <v>325</v>
      </c>
    </row>
    <row r="6" spans="5:8">
      <c r="E6" t="s">
        <v>133</v>
      </c>
      <c r="G6" s="29" t="s">
        <v>18</v>
      </c>
      <c r="H6" s="30" t="s">
        <v>351</v>
      </c>
    </row>
    <row r="7" spans="5:8">
      <c r="E7" t="s">
        <v>113</v>
      </c>
      <c r="G7" s="29" t="s">
        <v>87</v>
      </c>
      <c r="H7" s="30" t="s">
        <v>352</v>
      </c>
    </row>
    <row r="8" spans="5:8">
      <c r="E8" t="s">
        <v>72</v>
      </c>
      <c r="G8" s="29" t="s">
        <v>43</v>
      </c>
      <c r="H8" s="30" t="s">
        <v>353</v>
      </c>
    </row>
    <row r="9" spans="5:8">
      <c r="E9" t="s">
        <v>354</v>
      </c>
    </row>
    <row r="10" spans="5:8">
      <c r="E10" t="s">
        <v>131</v>
      </c>
    </row>
    <row r="11" spans="5:8">
      <c r="E11" t="s">
        <v>138</v>
      </c>
    </row>
    <row r="12" spans="5:8">
      <c r="E12" t="s">
        <v>100</v>
      </c>
    </row>
    <row r="13" spans="5:8">
      <c r="E13" t="s">
        <v>33</v>
      </c>
    </row>
    <row r="14" spans="5:8">
      <c r="E14" t="s">
        <v>20</v>
      </c>
    </row>
    <row r="15" spans="5:8">
      <c r="E15" t="s">
        <v>26</v>
      </c>
    </row>
    <row r="16" spans="5:8">
      <c r="E16" t="s">
        <v>53</v>
      </c>
    </row>
    <row r="17" spans="5:5">
      <c r="E17" t="s">
        <v>355</v>
      </c>
    </row>
    <row r="18" spans="5:5">
      <c r="E18" t="s">
        <v>37</v>
      </c>
    </row>
    <row r="19" spans="5:5">
      <c r="E19" t="s">
        <v>356</v>
      </c>
    </row>
    <row r="20" spans="5:5">
      <c r="E20" t="s">
        <v>47</v>
      </c>
    </row>
    <row r="21" spans="5:5">
      <c r="E21" t="s">
        <v>136</v>
      </c>
    </row>
    <row r="22" spans="5:5">
      <c r="E22" t="s">
        <v>0</v>
      </c>
    </row>
    <row r="23" spans="5:5">
      <c r="E23" t="s">
        <v>89</v>
      </c>
    </row>
    <row r="24" spans="5:5">
      <c r="E24" t="s">
        <v>76</v>
      </c>
    </row>
    <row r="25" spans="5:5">
      <c r="E25" t="s">
        <v>32</v>
      </c>
    </row>
    <row r="26" spans="5:5">
      <c r="E26" t="s">
        <v>44</v>
      </c>
    </row>
    <row r="27" spans="5:5">
      <c r="E27" t="s">
        <v>28</v>
      </c>
    </row>
    <row r="28" spans="5:5">
      <c r="E28" t="s">
        <v>31</v>
      </c>
    </row>
    <row r="29" spans="5:5">
      <c r="E29" t="s">
        <v>34</v>
      </c>
    </row>
    <row r="30" spans="5:5">
      <c r="E30" t="s">
        <v>55</v>
      </c>
    </row>
    <row r="31" spans="5:5">
      <c r="E31" t="s">
        <v>357</v>
      </c>
    </row>
    <row r="32" spans="5:5">
      <c r="E32" t="s">
        <v>358</v>
      </c>
    </row>
    <row r="33" spans="5:6">
      <c r="E33" t="s">
        <v>56</v>
      </c>
    </row>
    <row r="34" spans="5:6">
      <c r="E34" t="s">
        <v>143</v>
      </c>
    </row>
    <row r="35" spans="5:6">
      <c r="E35" t="s">
        <v>80</v>
      </c>
    </row>
    <row r="36" spans="5:6">
      <c r="E36" t="s">
        <v>140</v>
      </c>
    </row>
    <row r="37" spans="5:6">
      <c r="E37" t="s">
        <v>81</v>
      </c>
      <c r="F37" t="s">
        <v>359</v>
      </c>
    </row>
    <row r="38" spans="5:6">
      <c r="E38" t="s">
        <v>6</v>
      </c>
    </row>
    <row r="39" spans="5:6">
      <c r="E39" t="s">
        <v>51</v>
      </c>
    </row>
    <row r="40" spans="5:6">
      <c r="E40" t="s">
        <v>111</v>
      </c>
    </row>
    <row r="41" spans="5:6">
      <c r="E41" t="s">
        <v>116</v>
      </c>
    </row>
    <row r="42" spans="5:6">
      <c r="E42" t="s">
        <v>118</v>
      </c>
    </row>
    <row r="43" spans="5:6">
      <c r="E43" t="s">
        <v>120</v>
      </c>
    </row>
    <row r="44" spans="5:6">
      <c r="E44" t="s">
        <v>128</v>
      </c>
    </row>
    <row r="45" spans="5:6">
      <c r="E45" t="s">
        <v>124</v>
      </c>
    </row>
    <row r="46" spans="5:6">
      <c r="E46" t="s">
        <v>248</v>
      </c>
    </row>
    <row r="47" spans="5:6">
      <c r="E47" t="s">
        <v>255</v>
      </c>
    </row>
    <row r="48" spans="5:6">
      <c r="E48" t="s">
        <v>95</v>
      </c>
    </row>
    <row r="49" spans="5:5">
      <c r="E49" t="s">
        <v>68</v>
      </c>
    </row>
    <row r="50" spans="5:5">
      <c r="E50" t="s">
        <v>145</v>
      </c>
    </row>
    <row r="51" spans="5:5">
      <c r="E51" t="s">
        <v>263</v>
      </c>
    </row>
    <row r="52" spans="5:5">
      <c r="E52" t="s">
        <v>260</v>
      </c>
    </row>
    <row r="53" spans="5:5">
      <c r="E53" t="s">
        <v>245</v>
      </c>
    </row>
    <row r="54" spans="5:5">
      <c r="E54" t="s">
        <v>270</v>
      </c>
    </row>
    <row r="55" spans="5:5">
      <c r="E55" t="s">
        <v>268</v>
      </c>
    </row>
    <row r="56" spans="5:5">
      <c r="E56" t="s">
        <v>236</v>
      </c>
    </row>
  </sheetData>
  <autoFilter ref="E1:E37" xr:uid="{98F8B592-65CE-45F8-865B-9B502313EFF5}">
    <sortState xmlns:xlrd2="http://schemas.microsoft.com/office/spreadsheetml/2017/richdata2" ref="E2:E51">
      <sortCondition ref="E1:E37"/>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96A5FE9A4017E847A848183851F9246B" ma:contentTypeVersion="9" ma:contentTypeDescription="Create a new document." ma:contentTypeScope="" ma:versionID="2b62e7cbd9f54258666943b912220040">
  <xsd:schema xmlns:xsd="http://www.w3.org/2001/XMLSchema" xmlns:xs="http://www.w3.org/2001/XMLSchema" xmlns:p="http://schemas.microsoft.com/office/2006/metadata/properties" xmlns:ns1="http://schemas.microsoft.com/sharepoint/v3" xmlns:ns2="a721d052-bb16-4e7d-adab-4a9470abd947" targetNamespace="http://schemas.microsoft.com/office/2006/metadata/properties" ma:root="true" ma:fieldsID="97033d6f6bdb6dad90f1d15500a0a04f" ns1:_="" ns2:_="">
    <xsd:import namespace="http://schemas.microsoft.com/sharepoint/v3"/>
    <xsd:import namespace="a721d052-bb16-4e7d-adab-4a9470abd94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5" nillable="true" ma:displayName="Unified Compliance Policy Properties" ma:hidden="true" ma:internalName="_ip_UnifiedCompliancePolicyProperties">
      <xsd:simpleType>
        <xsd:restriction base="dms:Note"/>
      </xsd:simpleType>
    </xsd:element>
    <xsd:element name="_ip_UnifiedCompliancePolicyUIAction" ma:index="16"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a721d052-bb16-4e7d-adab-4a9470abd94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21DF9BC6-9D5D-4CD8-9809-44A418A06DEC}"/>
</file>

<file path=customXml/itemProps2.xml><?xml version="1.0" encoding="utf-8"?>
<ds:datastoreItem xmlns:ds="http://schemas.openxmlformats.org/officeDocument/2006/customXml" ds:itemID="{DD01A29E-BE43-4D0F-93F0-44ABEA87D71B}"/>
</file>

<file path=customXml/itemProps3.xml><?xml version="1.0" encoding="utf-8"?>
<ds:datastoreItem xmlns:ds="http://schemas.openxmlformats.org/officeDocument/2006/customXml" ds:itemID="{6A359EE3-FECF-40CF-A8EF-9A2EB23C4959}"/>
</file>

<file path=docMetadata/LabelInfo.xml><?xml version="1.0" encoding="utf-8"?>
<clbl:labelList xmlns:clbl="http://schemas.microsoft.com/office/2020/mipLabelMetadata">
  <clbl:label id="{622f8cde-07b5-4d16-ab2a-6dc0c3a66e35}" enabled="0" method="" siteId="{622f8cde-07b5-4d16-ab2a-6dc0c3a66e35}"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ITC Infotech India Ltd.</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Anthony David Sudhakar Devadoss</dc:creator>
  <cp:keywords/>
  <dc:description/>
  <cp:lastModifiedBy/>
  <cp:revision/>
  <dcterms:created xsi:type="dcterms:W3CDTF">2022-11-15T12:44:14Z</dcterms:created>
  <dcterms:modified xsi:type="dcterms:W3CDTF">2026-05-14T13:24:38Z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0x01010096A5FE9A4017E847A848183851F9246B</vt:lpwstr>
  </property>
</Properties>
</file>